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unchenje\Downloads\Compressed\fwdenviodasmatrizesdasongs\"/>
    </mc:Choice>
  </mc:AlternateContent>
  <xr:revisionPtr revIDLastSave="0" documentId="13_ncr:1_{5ED2A7A3-553B-43E7-8FE0-E02ED1BBDB35}" xr6:coauthVersionLast="47" xr6:coauthVersionMax="47" xr10:uidLastSave="{00000000-0000-0000-0000-000000000000}"/>
  <bookViews>
    <workbookView xWindow="20370" yWindow="-2175" windowWidth="24240" windowHeight="13140" firstSheet="5" activeTab="13" xr2:uid="{00000000-000D-0000-FFFF-FFFF00000000}"/>
  </bookViews>
  <sheets>
    <sheet name="MUIDUMBE" sheetId="1" r:id="rId1"/>
    <sheet name="CHIURE" sheetId="2" r:id="rId2"/>
    <sheet name="ANCUABE" sheetId="3" r:id="rId3"/>
    <sheet name="BALAMA" sheetId="4" r:id="rId4"/>
    <sheet name="MACOMIA" sheetId="5" r:id="rId5"/>
    <sheet name="MECUFI" sheetId="6" r:id="rId6"/>
    <sheet name="QUISSANGA" sheetId="8" r:id="rId7"/>
    <sheet name="PALMA" sheetId="9" r:id="rId8"/>
    <sheet name="NAMUNO" sheetId="10" r:id="rId9"/>
    <sheet name="NANGADE" sheetId="11" r:id="rId10"/>
    <sheet name="IBO" sheetId="12" r:id="rId11"/>
    <sheet name="MELUCO" sheetId="13" r:id="rId12"/>
    <sheet name="MUEDA" sheetId="14" r:id="rId13"/>
    <sheet name="M. DA PRAIA" sheetId="15" r:id="rId14"/>
  </sheets>
  <externalReferences>
    <externalReference r:id="rId15"/>
  </externalReferences>
  <definedNames>
    <definedName name="VAL">[1]Plan2!$D$5:$D$9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8" l="1"/>
  <c r="E23" i="8"/>
  <c r="F23" i="8"/>
  <c r="G23" i="8"/>
  <c r="G46" i="15" l="1"/>
  <c r="F46" i="15"/>
  <c r="E46" i="15"/>
  <c r="D46" i="15"/>
  <c r="C46" i="15"/>
  <c r="D31" i="11"/>
  <c r="E31" i="11"/>
  <c r="F31" i="11"/>
  <c r="G31" i="11"/>
  <c r="C31" i="11"/>
  <c r="D32" i="10"/>
  <c r="E32" i="10"/>
  <c r="F32" i="10"/>
  <c r="G32" i="10"/>
  <c r="C32" i="10"/>
  <c r="D33" i="9"/>
  <c r="E33" i="9"/>
  <c r="F33" i="9"/>
  <c r="G33" i="9"/>
  <c r="C33" i="9"/>
  <c r="C23" i="8"/>
  <c r="D43" i="3"/>
  <c r="E43" i="3"/>
  <c r="F43" i="3"/>
  <c r="G43" i="3"/>
  <c r="C43" i="3"/>
  <c r="D45" i="2"/>
  <c r="E45" i="2"/>
  <c r="F45" i="2"/>
  <c r="G45" i="2"/>
  <c r="C45" i="2"/>
  <c r="G24" i="14"/>
  <c r="F24" i="14"/>
  <c r="E24" i="14"/>
  <c r="D24" i="14"/>
  <c r="C24" i="14"/>
  <c r="G23" i="13"/>
  <c r="F23" i="13"/>
  <c r="E23" i="13"/>
  <c r="D23" i="13"/>
  <c r="C23" i="13"/>
  <c r="G15" i="12"/>
  <c r="F15" i="12"/>
  <c r="E15" i="12"/>
  <c r="D15" i="12"/>
  <c r="C15" i="12"/>
  <c r="G48" i="6" l="1"/>
  <c r="F48" i="6"/>
  <c r="E48" i="6"/>
  <c r="D48" i="6"/>
  <c r="C48" i="6"/>
  <c r="D31" i="4"/>
  <c r="E31" i="4"/>
  <c r="F31" i="4"/>
  <c r="F32" i="4" s="1"/>
  <c r="G31" i="4"/>
  <c r="C31" i="4"/>
  <c r="C32" i="4" s="1"/>
  <c r="D33" i="5"/>
  <c r="E33" i="5"/>
  <c r="F33" i="5"/>
  <c r="G33" i="5"/>
  <c r="C33" i="5"/>
  <c r="D33" i="1" l="1"/>
  <c r="E33" i="1"/>
  <c r="F33" i="1"/>
  <c r="G33" i="1"/>
  <c r="C33" i="1"/>
</calcChain>
</file>

<file path=xl/sharedStrings.xml><?xml version="1.0" encoding="utf-8"?>
<sst xmlns="http://schemas.openxmlformats.org/spreadsheetml/2006/main" count="1294" uniqueCount="597">
  <si>
    <t>REPÚBLICA DE MOÇAMBIQUE</t>
  </si>
  <si>
    <t>Matriz de Recolha de Informação sobre ONG´s que Operam na Província</t>
  </si>
  <si>
    <t>No.</t>
  </si>
  <si>
    <t xml:space="preserve">Designação da Organização </t>
  </si>
  <si>
    <t>Natureza</t>
  </si>
  <si>
    <t xml:space="preserve">Origem </t>
  </si>
  <si>
    <t>Área/s de Intervenção</t>
  </si>
  <si>
    <t>Projectos em Curso</t>
  </si>
  <si>
    <t>Fonte de Financiamento</t>
  </si>
  <si>
    <t>Distritos Beneficiários</t>
  </si>
  <si>
    <t>Perfil do Grupo Alvo</t>
  </si>
  <si>
    <t>Pessoa de Contacto</t>
  </si>
  <si>
    <t>Contactos</t>
  </si>
  <si>
    <t>ONG</t>
  </si>
  <si>
    <t>OSC</t>
  </si>
  <si>
    <t>Fundação</t>
  </si>
  <si>
    <t>Nacional</t>
  </si>
  <si>
    <t>Internacional</t>
  </si>
  <si>
    <t>Telefone</t>
  </si>
  <si>
    <t>e-mail</t>
  </si>
  <si>
    <t>Legenda</t>
  </si>
  <si>
    <t>Comité Internacional da Cruz Vermelha</t>
  </si>
  <si>
    <t xml:space="preserve">Gestão de riscos e Desastres: Provimento  de  kits de  primeira necessidade  à população  vítima do terrorismo. </t>
  </si>
  <si>
    <t>Mangeje</t>
  </si>
  <si>
    <r>
      <rPr>
        <b/>
        <sz val="12"/>
        <color theme="1"/>
        <rFont val="Bookman Old Style"/>
        <family val="1"/>
      </rPr>
      <t>ONG:</t>
    </r>
    <r>
      <rPr>
        <sz val="12"/>
        <color theme="1"/>
        <rFont val="Bookman Old Style"/>
        <family val="1"/>
      </rPr>
      <t xml:space="preserve"> Organização Não Governamental</t>
    </r>
  </si>
  <si>
    <r>
      <rPr>
        <b/>
        <sz val="12"/>
        <color theme="1"/>
        <rFont val="Bookman Old Style"/>
        <family val="1"/>
      </rPr>
      <t>OSC:</t>
    </r>
    <r>
      <rPr>
        <sz val="12"/>
        <color theme="1"/>
        <rFont val="Bookman Old Style"/>
        <family val="1"/>
      </rPr>
      <t xml:space="preserve"> Organização da Sociedade Civil</t>
    </r>
  </si>
  <si>
    <t>NRC</t>
  </si>
  <si>
    <t>População em estado de vulnerabilidade e Vitima do terrorismo.</t>
  </si>
  <si>
    <t>Registo  Civil  e Notariado: assistência  ao serviço  de Registo Civil  e  Notariado para  população vitima  do terrorismo. Educação: Material  Escolar Diverso.</t>
  </si>
  <si>
    <t>População em estado de vulnerabilidade e Vítima do terrorismo</t>
  </si>
  <si>
    <t>PNUD</t>
  </si>
  <si>
    <t>Actividade económicas: reconstrução de Infraestruturas públicas e agrária e provisionamento de insumos agrícolas aos produtores.</t>
  </si>
  <si>
    <t>População em 
estado de 
vulnerabilidade 
e Vitima do 
terrorismo.</t>
  </si>
  <si>
    <t>Festus</t>
  </si>
  <si>
    <t>OIM</t>
  </si>
  <si>
    <t>Infraestruturas: 
recuperação  das 
infra-estruturas 
económicas  e 
sociais</t>
  </si>
  <si>
    <t>Tiago</t>
  </si>
  <si>
    <t>Jaime Pwicha</t>
  </si>
  <si>
    <t>PROGRESSO</t>
  </si>
  <si>
    <t>Educação: 
provisão  de
Material  Escolar 
Diverso  eassistência  da 
rapariga para a não 
desistência escolar</t>
  </si>
  <si>
    <t xml:space="preserve"> População em 
estado de 
vulnerabilidade  e Vitima do 
terrorismo.</t>
  </si>
  <si>
    <t>Mário Dombele</t>
  </si>
  <si>
    <t>PMA/WFP</t>
  </si>
  <si>
    <t xml:space="preserve">Gestão de riscos e 
Desastres: 
Provisão  de 
géneros 
alimentícios  à 
população  vitima 
do terrorismo </t>
  </si>
  <si>
    <t>Florêncio</t>
  </si>
  <si>
    <t>UNOPS</t>
  </si>
  <si>
    <t>Banu</t>
  </si>
  <si>
    <t xml:space="preserve">Infraestruturas: Gestão de Projetos de reconstrução de infraestruturas  publicas destruídas  pelo terrorismo  (educação, saúde e  abastecimento de  agaua) e,  construção de  casas resilientes através de material  local nos centros  de acomodação  para famílias deslocadas </t>
  </si>
  <si>
    <t>UNICEF</t>
  </si>
  <si>
    <t xml:space="preserve">População em estado de vulnerabilidade. </t>
  </si>
  <si>
    <t>Gil Mahara</t>
  </si>
  <si>
    <t>842962350/874093273</t>
  </si>
  <si>
    <t>Educação:  Material Escolar  Diverso (KitEscola, Kit Recreação, Kit de  Dignidade, etc.). Infraestruturas:  construção de salas  de aulas através de  material  local  e  provimento  de  tendas-salas  de aulas</t>
  </si>
  <si>
    <t>FUNDAÇÃO AZUL</t>
  </si>
  <si>
    <t>Educação/Acção social: formação de Jovens em matéria de  Paz e coesão social; Promoção do desporto; Promoção  da cultura.</t>
  </si>
  <si>
    <t xml:space="preserve">Issufo </t>
  </si>
  <si>
    <t>PRONANAC</t>
  </si>
  <si>
    <t xml:space="preserve">Gestão Ambiental: saneamento  do meio  nos Centros de Reassentamento de  famílias deslocadas </t>
  </si>
  <si>
    <t xml:space="preserve">População em estado de vulnerabilidade e vítimas do terrorismo. </t>
  </si>
  <si>
    <t>NI</t>
  </si>
  <si>
    <t>CEPA</t>
  </si>
  <si>
    <t>FDC</t>
  </si>
  <si>
    <t>Saúde e educação: Resposta humanitária e manutenção da rapariga na escola sob controlo da Malária e HIV</t>
  </si>
  <si>
    <t>Bendita Langa</t>
  </si>
  <si>
    <t>FNUAP</t>
  </si>
  <si>
    <t>Saúde e educação: VBG Empoderamento económico da rapariga; Saúde sexual e reprodutiva juvenil</t>
  </si>
  <si>
    <t>Domingas</t>
  </si>
  <si>
    <t xml:space="preserve">ACJM - Colizão </t>
  </si>
  <si>
    <t>Saúde e Educação: VBG: Formação de mentoras distritais de BAS e escolares</t>
  </si>
  <si>
    <t>Muidumbe</t>
  </si>
  <si>
    <t>Sérgio</t>
  </si>
  <si>
    <t>RIGHT TO PLAY</t>
  </si>
  <si>
    <t>ELJ</t>
  </si>
  <si>
    <t>AMA/Lyvamingo</t>
  </si>
  <si>
    <t>Educação: capacitação de professores em temas transversais. Massificação do desporto escolar para divulgação de mensagens construtivas.</t>
  </si>
  <si>
    <t xml:space="preserve">Professores, alunose a sociedade em geral. </t>
  </si>
  <si>
    <t>Eduardo António</t>
  </si>
  <si>
    <t>Educação: Promoção da formação profissional de custa duração para camada juvenil</t>
  </si>
  <si>
    <t>Apoio no processo de licenciamento de actividades económicas de pequena escala</t>
  </si>
  <si>
    <t>Jovens (homens e mulheres)</t>
  </si>
  <si>
    <t>Feyson</t>
  </si>
  <si>
    <t>MINISTÉRIO DA PLANIFICAÇÃO E DESENVOLVIMENTO</t>
  </si>
  <si>
    <t>DIRECÇÃO NACIONAL DE PROMOÇÃO DO DESENVOLVIMENTO INTEGRADO</t>
  </si>
  <si>
    <t>SAVE THE CHILDREN</t>
  </si>
  <si>
    <t xml:space="preserve">Fundação para Desenvolvimento da Comunidade </t>
  </si>
  <si>
    <t>PMA</t>
  </si>
  <si>
    <t>JRS</t>
  </si>
  <si>
    <t>Plain International</t>
  </si>
  <si>
    <t>We World</t>
  </si>
  <si>
    <t>Mentor Iniciative</t>
  </si>
  <si>
    <t>Fundação Ariel</t>
  </si>
  <si>
    <t>Wiwanana</t>
  </si>
  <si>
    <t>Mother 2Mother</t>
  </si>
  <si>
    <t>CUAM</t>
  </si>
  <si>
    <t>Helvetas</t>
  </si>
  <si>
    <t>Solidar Med</t>
  </si>
  <si>
    <t>MENTOR</t>
  </si>
  <si>
    <t>MAHLAHLE</t>
  </si>
  <si>
    <t>ADEL</t>
  </si>
  <si>
    <t>MASC</t>
  </si>
  <si>
    <t>FAO/KAEMA</t>
  </si>
  <si>
    <t>PEACE WINDS</t>
  </si>
  <si>
    <t>Centro de Democracia e Direitos Humanos (CDD)</t>
  </si>
  <si>
    <t>GIRL CHILD RIGHTS</t>
  </si>
  <si>
    <t>Cooperação Suíça</t>
  </si>
  <si>
    <t>SEPPA</t>
  </si>
  <si>
    <t>Educação</t>
  </si>
  <si>
    <t>Saúde (Clínica HIV, Brigada Móvel e SMI Móvel)</t>
  </si>
  <si>
    <t>Saúde (Pessoas em risco em HIV)</t>
  </si>
  <si>
    <t>Saúde (Prevenção Transmissão Vertical; Dreams e Tarv Pediátrico)</t>
  </si>
  <si>
    <t xml:space="preserve">Saúde (Nutrição-PIN e 
Brigadas moveis)
</t>
  </si>
  <si>
    <t>Saúde (Brigadas Moveis)</t>
  </si>
  <si>
    <t>Saúde (Saneamento de Meio)</t>
  </si>
  <si>
    <t>Saúde (PIN E TDC; Brigadas Moveis)</t>
  </si>
  <si>
    <t>Saúde (Protecção da Criança)</t>
  </si>
  <si>
    <t>Saúde (Fundo Directo)</t>
  </si>
  <si>
    <t>Governação</t>
  </si>
  <si>
    <t>Agricultura (Produção Agrícola)</t>
  </si>
  <si>
    <t>Educação (Promoção de Direitos Humanos e coesão social)</t>
  </si>
  <si>
    <t>Agricultura (Segurança alimentar e meios de subsistência)</t>
  </si>
  <si>
    <t>Fundação Aga Khan</t>
  </si>
  <si>
    <t>Educação Apoio institucional, reabilitação e apetrechamento de salas de aula; Saúde (Protecção a Criança); SDPI (Assistência as familias deslocadas e saneamento do meio)</t>
  </si>
  <si>
    <t>Educação; Agricultura (Segurança Alimentar e meios de vida - Produção agrícola.</t>
  </si>
  <si>
    <t>Educação; Saúde (Malária, HIV e VBG)</t>
  </si>
  <si>
    <t>Educação; Saúde (brigadas Moveis); SDPI (Assistência as familias deslocadas)</t>
  </si>
  <si>
    <t>Educação (Educação de Infância); Saúde (Protecção da Criança)</t>
  </si>
  <si>
    <t xml:space="preserve">Educação (protecção e empoderamento de Crianças, Adolescentes e Jovens); </t>
  </si>
  <si>
    <t>Educação;Secretaria Distrital</t>
  </si>
  <si>
    <t>SDPI (Assistência as familias deslocadas)Agricultura (Segurança Alimentar, agro negocio e Projecto pós-colheita); Agricultura (Promoção da produção e comercialização do amendoim e caju orgânico</t>
  </si>
  <si>
    <t>Saúde -Violência Baseada no Género (Distribuição De Kit Dignidade); SDPI (Assistência as familias deslocadas)</t>
  </si>
  <si>
    <t>Agricultura - Segurança Alimentar e meios de vida (Produção agrícola);SDPI (Assistência as familias deslocadas)</t>
  </si>
  <si>
    <t>Água e saneamento do meio</t>
  </si>
  <si>
    <t>Assistência as familias deslocadas</t>
  </si>
  <si>
    <t>Chiure</t>
  </si>
  <si>
    <t>Assistência às famílias deslocadas</t>
  </si>
  <si>
    <t>Solidarite</t>
  </si>
  <si>
    <t>SDC</t>
  </si>
  <si>
    <t>CARE</t>
  </si>
  <si>
    <t>HELVETAS</t>
  </si>
  <si>
    <t>WIWANANA</t>
  </si>
  <si>
    <t>AMASI</t>
  </si>
  <si>
    <t>HELP COD</t>
  </si>
  <si>
    <t>ACNUR</t>
  </si>
  <si>
    <t>AYUDA ACCION</t>
  </si>
  <si>
    <t>FUNDACAO ARIEL</t>
  </si>
  <si>
    <t>PATHFINDER</t>
  </si>
  <si>
    <t>SOLIDARI MEDI</t>
  </si>
  <si>
    <t>MEDICUS MUNDI</t>
  </si>
  <si>
    <t>AMODEFA</t>
  </si>
  <si>
    <t>CUAMM</t>
  </si>
  <si>
    <t>AVSI</t>
  </si>
  <si>
    <t>IPAS</t>
  </si>
  <si>
    <t>MULEID</t>
  </si>
  <si>
    <t>PIRCOM</t>
  </si>
  <si>
    <t>CESAL</t>
  </si>
  <si>
    <t>VOZPOBA</t>
  </si>
  <si>
    <t>Agua e saneamento, Infraestruturas e Assistencia humanitaria</t>
  </si>
  <si>
    <t>Agua e saneamento, Prevencao e combate a grande endemias</t>
  </si>
  <si>
    <t>Educacao e Infraestrturas, combate malaria, agua e saneamento</t>
  </si>
  <si>
    <t>Fundação Agha Khan</t>
  </si>
  <si>
    <t>Governação, Água e saneamento, Infraestruturas e Assistência humanitária</t>
  </si>
  <si>
    <t>Água e saneamento, Infraestruturas e Assistencia humanitária</t>
  </si>
  <si>
    <t>Água e saneamento, Infraestruturas e Assistência humanitária</t>
  </si>
  <si>
    <t>Província de: C Delgado/Muidumbe</t>
  </si>
  <si>
    <t>Twigg Exploration and Mining Lda</t>
  </si>
  <si>
    <t>Rigth To Play</t>
  </si>
  <si>
    <t>Santo Egídio</t>
  </si>
  <si>
    <t>Tsemba Life</t>
  </si>
  <si>
    <t>Helvetas (Cooperação Suíça)</t>
  </si>
  <si>
    <t>Fundação WIWANANA</t>
  </si>
  <si>
    <t>Associação Meio Ambiente (AMA)</t>
  </si>
  <si>
    <t>Fundação Mundukide</t>
  </si>
  <si>
    <t>FH Association</t>
  </si>
  <si>
    <t>Construção de infra-estruturas escolares</t>
  </si>
  <si>
    <t>Proteger, educar e empoderar criancas e jovens</t>
  </si>
  <si>
    <t>Malária</t>
  </si>
  <si>
    <t>Saúde Sexual Reprodutiva</t>
  </si>
  <si>
    <t>Nutrição</t>
  </si>
  <si>
    <t>Formação Profissional</t>
  </si>
  <si>
    <t>Água e Saneamento</t>
  </si>
  <si>
    <t>HIV/SIDA</t>
  </si>
  <si>
    <t>Promoção de insumos agrícolas</t>
  </si>
  <si>
    <t>Alunos</t>
  </si>
  <si>
    <t>Raparigas vulneráveis</t>
  </si>
  <si>
    <t>Formandos do IABAL</t>
  </si>
  <si>
    <t>Jovens dos 18 aos 35 anos</t>
  </si>
  <si>
    <t>Alunos e a população em geral</t>
  </si>
  <si>
    <t>População em geral</t>
  </si>
  <si>
    <t>Produtores, comerciantes e jovens</t>
  </si>
  <si>
    <t>Jovens</t>
  </si>
  <si>
    <t>Agrodillers e produtores</t>
  </si>
  <si>
    <t>Comerciantes, organizações de produtores, empreendedores</t>
  </si>
  <si>
    <t>Balama</t>
  </si>
  <si>
    <t>Formação profissional e auto-emprego</t>
  </si>
  <si>
    <t>Anita</t>
  </si>
  <si>
    <t>Marta</t>
  </si>
  <si>
    <t>Eduardo Ntsamuel</t>
  </si>
  <si>
    <t>Adélia e Alberto Caetano</t>
  </si>
  <si>
    <t xml:space="preserve"> 861946818 e 861508767</t>
  </si>
  <si>
    <t>Amimo Júlio Paulosse</t>
  </si>
  <si>
    <t xml:space="preserve">Agira </t>
  </si>
  <si>
    <t>Coordenador</t>
  </si>
  <si>
    <t xml:space="preserve">Ruth Luís Tembo </t>
  </si>
  <si>
    <t xml:space="preserve">Domingos Celiano </t>
  </si>
  <si>
    <t xml:space="preserve">Sharmila </t>
  </si>
  <si>
    <t xml:space="preserve">Rúben </t>
  </si>
  <si>
    <t>Constância e Mateus Saibo</t>
  </si>
  <si>
    <t xml:space="preserve"> 879462906  876794003</t>
  </si>
  <si>
    <t>Jorge Abdala</t>
  </si>
  <si>
    <t>Saúde Sexual e Reprodutiva</t>
  </si>
  <si>
    <t>Promover a defesa dos direitos das crianças, ajudar a dar resposta às suas necessidades básicas e contribuir para o seu pleno desenvolvimento</t>
  </si>
  <si>
    <t>Tuberculose, Produção agrícola e habilidades para a vida</t>
  </si>
  <si>
    <t>Província de: C Delgado/Balama</t>
  </si>
  <si>
    <t>Província de: C. Delgado/Chiure</t>
  </si>
  <si>
    <t>Província de: C. Delgado/Muidumbe</t>
  </si>
  <si>
    <t>ACTED</t>
  </si>
  <si>
    <t>HalpCode/Promura</t>
  </si>
  <si>
    <t>Save The Children</t>
  </si>
  <si>
    <t>ForAfrica</t>
  </si>
  <si>
    <t>Humanitary Inclusion</t>
  </si>
  <si>
    <t>MULEIDE</t>
  </si>
  <si>
    <t xml:space="preserve">Caritas </t>
  </si>
  <si>
    <t>ACF</t>
  </si>
  <si>
    <t>MSF</t>
  </si>
  <si>
    <t>AMU</t>
  </si>
  <si>
    <t>LJ</t>
  </si>
  <si>
    <t>CCCM</t>
  </si>
  <si>
    <t>Reabilitação e construção de edificios Públicos/Privados</t>
  </si>
  <si>
    <t>Monitoria dos movimentos internos e suporte na recolha de dados ao Governo</t>
  </si>
  <si>
    <t>Distribuição de comida</t>
  </si>
  <si>
    <t>Violência Baseada no Género</t>
  </si>
  <si>
    <t>Protecção a criança</t>
  </si>
  <si>
    <t>Garantir insumos e agricolas e lanches aos alunos</t>
  </si>
  <si>
    <t>Identificar e referenciar casos</t>
  </si>
  <si>
    <t>Apoio as pessoas com deficiência</t>
  </si>
  <si>
    <t>Garantir a saúde das pessoas</t>
  </si>
  <si>
    <t>Protecção as raparigas</t>
  </si>
  <si>
    <t>Garantir Higiene a Saneamento</t>
  </si>
  <si>
    <t>Garantir saúde, água, promoção de Higiene e Saneamento</t>
  </si>
  <si>
    <t>Garantir Saúde, Água, promoção de Higiene e Saneamento</t>
  </si>
  <si>
    <t>Garantir Água, promoção de Higiene e Saneamento</t>
  </si>
  <si>
    <t>Actualizar dados de entradas, saidas e levantamento de necessidades</t>
  </si>
  <si>
    <r>
      <t>Forma</t>
    </r>
    <r>
      <rPr>
        <sz val="11"/>
        <color theme="1"/>
        <rFont val="Bookman Old Style"/>
        <family val="1"/>
      </rPr>
      <t>çã</t>
    </r>
    <r>
      <rPr>
        <sz val="12"/>
        <color theme="1"/>
        <rFont val="Bookman Old Style"/>
        <family val="1"/>
      </rPr>
      <t>o de jovens em actidades de geração de emprego</t>
    </r>
  </si>
  <si>
    <t>Funcionários Públicos e Agentes do Estado, Alunos e a População.</t>
  </si>
  <si>
    <t>Deslocados e Retornados</t>
  </si>
  <si>
    <t>Agricultores e alunos</t>
  </si>
  <si>
    <t>Comunidade</t>
  </si>
  <si>
    <t xml:space="preserve">Toda população </t>
  </si>
  <si>
    <t>Deslocados e Reornados</t>
  </si>
  <si>
    <t>Deslocacdos e Retornados</t>
  </si>
  <si>
    <t>População do centro de reassentamento de Nonge</t>
  </si>
  <si>
    <t>População do centro de reassentamento de Sogueia</t>
  </si>
  <si>
    <t>Familias Deslocadas</t>
  </si>
  <si>
    <t>Raparigas</t>
  </si>
  <si>
    <t>Deslocados do centro de reassentamento de Xinavane</t>
  </si>
  <si>
    <t>FUNDAÇÃO ARIEL</t>
  </si>
  <si>
    <t>AGA KHAN</t>
  </si>
  <si>
    <t>PATHFANTHER</t>
  </si>
  <si>
    <t>FENUAP</t>
  </si>
  <si>
    <t>HELPO</t>
  </si>
  <si>
    <t>STREET CHILD MOZAMBIQUE</t>
  </si>
  <si>
    <t>MENTOR INITIATIVE</t>
  </si>
  <si>
    <t>PLAN INTERNATIONAL</t>
  </si>
  <si>
    <t xml:space="preserve">UNICEF </t>
  </si>
  <si>
    <t xml:space="preserve">AJOAGO </t>
  </si>
  <si>
    <t>SOLIDARITES INTERNATIONAL</t>
  </si>
  <si>
    <t>HELPCODE</t>
  </si>
  <si>
    <t>SOS Moçambique</t>
  </si>
  <si>
    <t xml:space="preserve">FDC </t>
  </si>
  <si>
    <t>ADBG</t>
  </si>
  <si>
    <t>AMPD</t>
  </si>
  <si>
    <t>AMA</t>
  </si>
  <si>
    <t>ADPP/Agro-Vida</t>
  </si>
  <si>
    <t>UPC</t>
  </si>
  <si>
    <t>FAO</t>
  </si>
  <si>
    <t>GAIN</t>
  </si>
  <si>
    <t xml:space="preserve">CESAL </t>
  </si>
  <si>
    <t>Saúde e Género</t>
  </si>
  <si>
    <t>Saúde</t>
  </si>
  <si>
    <t>Assistência alimentar</t>
  </si>
  <si>
    <t>Assistência, ajuda humanitária, desenvolvimento comunitário, educação para o desenvolvimento e desenvolvimento humano</t>
  </si>
  <si>
    <t>Educação, infraestruturas sociais e ajuda humanitária</t>
  </si>
  <si>
    <t xml:space="preserve">Educação </t>
  </si>
  <si>
    <t>Saúde e Educação (Distribuição de Kits de dignidade e de higiene).</t>
  </si>
  <si>
    <r>
      <rPr>
        <b/>
        <sz val="12"/>
        <color theme="1"/>
        <rFont val="Bookman Old Style"/>
        <family val="1"/>
      </rPr>
      <t>Educação:</t>
    </r>
    <r>
      <rPr>
        <sz val="12"/>
        <color theme="1"/>
        <rFont val="Bookman Old Style"/>
        <family val="1"/>
      </rPr>
      <t xml:space="preserve"> Capacitação dos membros de conselho de escola na gestão  da escola e do ADE.</t>
    </r>
  </si>
  <si>
    <r>
      <rPr>
        <b/>
        <sz val="12"/>
        <color theme="1"/>
        <rFont val="Bookman Old Style"/>
        <family val="1"/>
      </rPr>
      <t>Assistência social:</t>
    </r>
    <r>
      <rPr>
        <sz val="12"/>
        <color theme="1"/>
        <rFont val="Bookman Old Style"/>
        <family val="1"/>
      </rPr>
      <t xml:space="preserve"> (Acções de combate a violência baseada no género e promoção da coesão social)</t>
    </r>
  </si>
  <si>
    <r>
      <rPr>
        <b/>
        <sz val="12"/>
        <color theme="1"/>
        <rFont val="Bookman Old Style"/>
        <family val="1"/>
      </rPr>
      <t xml:space="preserve">Meio ambiente </t>
    </r>
    <r>
      <rPr>
        <sz val="12"/>
        <color theme="1"/>
        <rFont val="Bookman Old Style"/>
        <family val="1"/>
      </rPr>
      <t>(Gestão de recursos marinhos e reflorestamento de mangal)</t>
    </r>
  </si>
  <si>
    <r>
      <rPr>
        <b/>
        <sz val="12"/>
        <color rgb="FF000000"/>
        <rFont val="Bookman Old Style"/>
        <family val="1"/>
      </rPr>
      <t>Saúde e Assistência social:</t>
    </r>
    <r>
      <rPr>
        <sz val="12"/>
        <color rgb="FF000000"/>
        <rFont val="Bookman Old Style"/>
        <family val="1"/>
      </rPr>
      <t xml:space="preserve"> Fortalecer as capacidades das comunidades desfavorecidas com o objectivo de vencer a pobreza e promover a justiça social (Projectos de combate contra a malária)</t>
    </r>
  </si>
  <si>
    <r>
      <rPr>
        <b/>
        <sz val="12"/>
        <color theme="1"/>
        <rFont val="Bookman Old Style"/>
        <family val="1"/>
      </rPr>
      <t xml:space="preserve">Educação </t>
    </r>
    <r>
      <rPr>
        <sz val="12"/>
        <color theme="1"/>
        <rFont val="Bookman Old Style"/>
        <family val="1"/>
      </rPr>
      <t>(Apoio a crianças vulneráveis em material escolar)</t>
    </r>
  </si>
  <si>
    <r>
      <rPr>
        <b/>
        <sz val="12"/>
        <color rgb="FF0A0A0A"/>
        <rFont val="Bookman Old Style"/>
        <family val="1"/>
      </rPr>
      <t>Agricultura  e promoção de igualdade de género</t>
    </r>
    <r>
      <rPr>
        <sz val="12"/>
        <color rgb="FF0A0A0A"/>
        <rFont val="Bookman Old Style"/>
        <family val="1"/>
      </rPr>
      <t>, através da capacitação de mulheres em associações de produtores</t>
    </r>
  </si>
  <si>
    <r>
      <rPr>
        <b/>
        <sz val="12"/>
        <color theme="1"/>
        <rFont val="Bookman Old Style"/>
        <family val="1"/>
      </rPr>
      <t>Saúde e Educação</t>
    </r>
    <r>
      <rPr>
        <sz val="12"/>
        <color theme="1"/>
        <rFont val="Bookman Old Style"/>
        <family val="1"/>
      </rPr>
      <t xml:space="preserve"> (Distribuição de Kits de dignidade).</t>
    </r>
  </si>
  <si>
    <r>
      <rPr>
        <b/>
        <sz val="12"/>
        <color rgb="FF001D35"/>
        <rFont val="Bookman Old Style"/>
        <family val="1"/>
      </rPr>
      <t>Assistência humanitária</t>
    </r>
    <r>
      <rPr>
        <sz val="12"/>
        <color rgb="FF001D35"/>
        <rFont val="Bookman Old Style"/>
        <family val="1"/>
      </rPr>
      <t xml:space="preserve"> vital, incluindo água, saneamento, higiene e segurança alimentar</t>
    </r>
  </si>
  <si>
    <r>
      <rPr>
        <b/>
        <sz val="12"/>
        <color rgb="FF001D35"/>
        <rFont val="Bookman Old Style"/>
        <family val="1"/>
      </rPr>
      <t>Educação</t>
    </r>
    <r>
      <rPr>
        <sz val="12"/>
        <color rgb="FF001D35"/>
        <rFont val="Bookman Old Style"/>
        <family val="1"/>
      </rPr>
      <t xml:space="preserve"> (Distribuição de kits escolares e 250 kits de EDRM (Educação para Redução de Riscos de Desastres) </t>
    </r>
  </si>
  <si>
    <r>
      <rPr>
        <b/>
        <sz val="12"/>
        <color theme="1"/>
        <rFont val="Bookman Old Style"/>
        <family val="1"/>
      </rPr>
      <t>Educação</t>
    </r>
    <r>
      <rPr>
        <sz val="12"/>
        <color theme="1"/>
        <rFont val="Bookman Old Style"/>
        <family val="1"/>
      </rPr>
      <t xml:space="preserve"> (Reabilitação de salas de aula: Componente de pequenas reparações)</t>
    </r>
  </si>
  <si>
    <r>
      <rPr>
        <b/>
        <sz val="12"/>
        <color rgb="FF1F1F1F"/>
        <rFont val="Bookman Old Style"/>
        <family val="1"/>
      </rPr>
      <t>Saúde:</t>
    </r>
    <r>
      <rPr>
        <sz val="12"/>
        <color rgb="FF1F1F1F"/>
        <rFont val="Bookman Old Style"/>
        <family val="1"/>
      </rPr>
      <t xml:space="preserve"> Controle de doenças infecciosas e ao apoio aos serviços de saúde em contextos vulneráveis ​​e afetados por conflitos.</t>
    </r>
  </si>
  <si>
    <r>
      <rPr>
        <b/>
        <sz val="12"/>
        <color rgb="FF001D35"/>
        <rFont val="Bookman Old Style"/>
        <family val="1"/>
      </rPr>
      <t>Resposta humanitária</t>
    </r>
    <r>
      <rPr>
        <sz val="12"/>
        <color rgb="FF001D35"/>
        <rFont val="Bookman Old Style"/>
        <family val="1"/>
      </rPr>
      <t xml:space="preserve"> crítica, incluindo proteção infantil, educação e apoio nutricional para crianças e famílias deslocadas devido ao conflito.</t>
    </r>
  </si>
  <si>
    <t>Agricultura e Pesca</t>
  </si>
  <si>
    <t>Agricultura e Segurança alimentar</t>
  </si>
  <si>
    <r>
      <rPr>
        <b/>
        <sz val="12"/>
        <color theme="1"/>
        <rFont val="Bookman Old Style"/>
        <family val="1"/>
      </rPr>
      <t>Agricultura e Pesca</t>
    </r>
    <r>
      <rPr>
        <sz val="12"/>
        <color theme="1"/>
        <rFont val="Bookman Old Style"/>
        <family val="1"/>
      </rPr>
      <t xml:space="preserve"> (restaurar os meios de subsistência de agricultores e pescadores, fortalecendo a segurança alimentar).</t>
    </r>
  </si>
  <si>
    <r>
      <rPr>
        <b/>
        <sz val="12"/>
        <rFont val="Bookman Old Style"/>
        <family val="1"/>
      </rPr>
      <t>Pesca:</t>
    </r>
    <r>
      <rPr>
        <sz val="12"/>
        <rFont val="Bookman Old Style"/>
        <family val="1"/>
      </rPr>
      <t xml:space="preserve"> Apoio ao desenvolvimento da actividade pesqueira.</t>
    </r>
  </si>
  <si>
    <t>CARITAS DIOCESANA</t>
  </si>
  <si>
    <t>AYUDA EM ACCION</t>
  </si>
  <si>
    <t>SOLIDARITÉ</t>
  </si>
  <si>
    <r>
      <rPr>
        <b/>
        <sz val="12"/>
        <color theme="1"/>
        <rFont val="Bookman Old Style"/>
        <family val="1"/>
      </rPr>
      <t>Saúde:</t>
    </r>
    <r>
      <rPr>
        <sz val="12"/>
        <color theme="1"/>
        <rFont val="Bookman Old Style"/>
        <family val="1"/>
      </rPr>
      <t xml:space="preserve"> (Asssitência comunitária, distribuição de Kits de Higiene e Abrigo)</t>
    </r>
  </si>
  <si>
    <r>
      <rPr>
        <b/>
        <sz val="12"/>
        <color theme="1"/>
        <rFont val="Bookman Old Style"/>
        <family val="1"/>
      </rPr>
      <t>Assisténcia alimentar</t>
    </r>
    <r>
      <rPr>
        <sz val="12"/>
        <color theme="1"/>
        <rFont val="Bookman Old Style"/>
        <family val="1"/>
      </rPr>
      <t>; Construção de casas</t>
    </r>
  </si>
  <si>
    <r>
      <rPr>
        <b/>
        <sz val="12"/>
        <color theme="1"/>
        <rFont val="Bookman Old Style"/>
        <family val="1"/>
      </rPr>
      <t>Água e Saneamento</t>
    </r>
    <r>
      <rPr>
        <sz val="12"/>
        <color theme="1"/>
        <rFont val="Bookman Old Style"/>
        <family val="1"/>
      </rPr>
      <t xml:space="preserve"> Reabilitação, reparação, manutenção, saneamento, comités de água</t>
    </r>
  </si>
  <si>
    <t>Assistência social: Construção de abrigos</t>
  </si>
  <si>
    <r>
      <rPr>
        <b/>
        <sz val="12"/>
        <color theme="1"/>
        <rFont val="Bookman Old Style"/>
        <family val="1"/>
      </rPr>
      <t>Saúde:</t>
    </r>
    <r>
      <rPr>
        <sz val="12"/>
        <color theme="1"/>
        <rFont val="Bookman Old Style"/>
        <family val="1"/>
      </rPr>
      <t xml:space="preserve"> Reabilitação de infraestruturas sanitárias</t>
    </r>
  </si>
  <si>
    <r>
      <rPr>
        <b/>
        <sz val="12"/>
        <color theme="1"/>
        <rFont val="Bookman Old Style"/>
        <family val="1"/>
      </rPr>
      <t>Água:</t>
    </r>
    <r>
      <rPr>
        <sz val="12"/>
        <color theme="1"/>
        <rFont val="Bookman Old Style"/>
        <family val="1"/>
      </rPr>
      <t xml:space="preserve"> Abastecimento de água</t>
    </r>
  </si>
  <si>
    <r>
      <t xml:space="preserve">Saúde e saneamento do meio: </t>
    </r>
    <r>
      <rPr>
        <sz val="12"/>
        <color theme="1"/>
        <rFont val="Bookman Old Style"/>
        <family val="1"/>
      </rPr>
      <t>Promocao de higiene, saneamento, treinamento.</t>
    </r>
    <r>
      <rPr>
        <b/>
        <sz val="12"/>
        <color theme="1"/>
        <rFont val="Bookman Old Style"/>
        <family val="1"/>
      </rPr>
      <t xml:space="preserve"> </t>
    </r>
  </si>
  <si>
    <t xml:space="preserve">Mecufi </t>
  </si>
  <si>
    <t>Província de: C Delgado/Mecufi</t>
  </si>
  <si>
    <t>Matriz de Recolha de Informação sobre ONG´s que Operam na Província/Distrito</t>
  </si>
  <si>
    <t>Crianças menores de 5 anos</t>
  </si>
  <si>
    <t>População necessitada</t>
  </si>
  <si>
    <t>População em geral, mas com especial atenção a crianças menores de 5 anos</t>
  </si>
  <si>
    <t>População vítima de eventos climáticos extremos e protecção infantil.</t>
  </si>
  <si>
    <t>Pessoas em situação de emergência</t>
  </si>
  <si>
    <t>Crianças e jovens</t>
  </si>
  <si>
    <t xml:space="preserve">População em geral, mas com especial atenção às vítimas de eventos naturais extremos (ciclones) </t>
  </si>
  <si>
    <t>Crianças do ensino primário vítimas de eventos naturais extremos (Ciclone Chido)</t>
  </si>
  <si>
    <t>População em situação de emergência</t>
  </si>
  <si>
    <t>População jovem</t>
  </si>
  <si>
    <t>Alunos , professores entre outros intervenientes da comunidade escolar</t>
  </si>
  <si>
    <t>Alunos , professores entre outros intervenientes da comunidade escolar.</t>
  </si>
  <si>
    <t>Alunos e crianças</t>
  </si>
  <si>
    <t>Direcções e Conselhos das Escolas.</t>
  </si>
  <si>
    <t>Mulheres e jovens</t>
  </si>
  <si>
    <t>Pescadores e comunidade em geral</t>
  </si>
  <si>
    <t>População em esdtado de vulnerabilidade</t>
  </si>
  <si>
    <t>Pescadores e população em geral</t>
  </si>
  <si>
    <t>População em situação de vulnerabilidade e de emergência</t>
  </si>
  <si>
    <t>População em geral, com especial enfoque para mulheres e raparigas.</t>
  </si>
  <si>
    <t>População em geral, com especial atenção para crianças e jovens.</t>
  </si>
  <si>
    <t>Crianças, adolescentes e jovens</t>
  </si>
  <si>
    <t>Helder Roque</t>
  </si>
  <si>
    <t>Joaquim Chinguene</t>
  </si>
  <si>
    <t xml:space="preserve">Prodencia </t>
  </si>
  <si>
    <t>Inocencia</t>
  </si>
  <si>
    <t>Direcção Nacional de Promoção do Desenvolvimento Integrado</t>
  </si>
  <si>
    <t>Matriz de Recolha de Informação sobre ONG´s que Operam em Moçambique</t>
  </si>
  <si>
    <t>NO</t>
  </si>
  <si>
    <r>
      <rPr>
        <b/>
        <sz val="11"/>
        <color theme="1"/>
        <rFont val="Bookman Old Style"/>
        <family val="1"/>
      </rPr>
      <t>ONG:</t>
    </r>
    <r>
      <rPr>
        <sz val="11"/>
        <color theme="1"/>
        <rFont val="Bookman Old Style"/>
        <family val="1"/>
      </rPr>
      <t xml:space="preserve"> Organização Não Governamental</t>
    </r>
  </si>
  <si>
    <r>
      <rPr>
        <b/>
        <sz val="11"/>
        <color theme="1"/>
        <rFont val="Bookman Old Style"/>
        <family val="1"/>
      </rPr>
      <t>OSC:</t>
    </r>
    <r>
      <rPr>
        <sz val="11"/>
        <color theme="1"/>
        <rFont val="Bookman Old Style"/>
        <family val="1"/>
      </rPr>
      <t xml:space="preserve"> Organização da Sociedade Civil</t>
    </r>
  </si>
  <si>
    <t>Infra-estrutura (SDPI)</t>
  </si>
  <si>
    <t>Quissanga</t>
  </si>
  <si>
    <t>Educação (SDEJT)</t>
  </si>
  <si>
    <t>Unicef</t>
  </si>
  <si>
    <t xml:space="preserve">Água e Saneamento </t>
  </si>
  <si>
    <t>Saúde (SDSMAS)</t>
  </si>
  <si>
    <t xml:space="preserve">Johanniter </t>
  </si>
  <si>
    <t xml:space="preserve">Água e saneamento/ Nutrição/  Agricultura </t>
  </si>
  <si>
    <t>AMOLET</t>
  </si>
  <si>
    <t xml:space="preserve">VBG e Nutrição </t>
  </si>
  <si>
    <t>IBIT</t>
  </si>
  <si>
    <t>Livamingo</t>
  </si>
  <si>
    <t xml:space="preserve">Agricultura  e Educação </t>
  </si>
  <si>
    <t>GSB</t>
  </si>
  <si>
    <t xml:space="preserve">Agua e Saneamento </t>
  </si>
  <si>
    <t>APN</t>
  </si>
  <si>
    <t xml:space="preserve">Todos os Serviços </t>
  </si>
  <si>
    <t>Acção  contra fome</t>
  </si>
  <si>
    <t>Actividades económicas (SDAE)</t>
  </si>
  <si>
    <t>MEDICOS SEM FRONTEIRAS</t>
  </si>
  <si>
    <t>Consultas Medicas e Brigadas Móveis nos Centros de Saúde ao nível dos Postos Administrativos e Localidades</t>
  </si>
  <si>
    <t>Palma</t>
  </si>
  <si>
    <t xml:space="preserve">Apoio as obrigadas moveis na assistência primária em toda área de Saúde. </t>
  </si>
  <si>
    <t>Programa de Reabilitação Nutricional</t>
  </si>
  <si>
    <t>CDC</t>
  </si>
  <si>
    <t>Combate ao HIV/SIDA</t>
  </si>
  <si>
    <t>Combate a violência baseada no género</t>
  </si>
  <si>
    <t>ADIN-PNUD</t>
  </si>
  <si>
    <t>Reabilitações das Infraestruturas sociais, sistema água e expansão da corrente eléctrica</t>
  </si>
  <si>
    <t xml:space="preserve">Construção de sistema de abastecimento de água  </t>
  </si>
  <si>
    <t xml:space="preserve">Reabilitação de Infraestruturas </t>
  </si>
  <si>
    <t>AlphResilience</t>
  </si>
  <si>
    <t>Reabilitação de sistema de abastecimento de água</t>
  </si>
  <si>
    <t>TOTAL</t>
  </si>
  <si>
    <t xml:space="preserve">Apoia em várias áreas ao nível de sector </t>
  </si>
  <si>
    <t>FOR AFRICA</t>
  </si>
  <si>
    <t xml:space="preserve">Reabilitação de Furos de água </t>
  </si>
  <si>
    <t>Exxon Mobile</t>
  </si>
  <si>
    <t xml:space="preserve">Construção de salas temporária e fornecimento de material escolar </t>
  </si>
  <si>
    <t>SaveTheChindren</t>
  </si>
  <si>
    <t>Construção e reabilitação de escolas</t>
  </si>
  <si>
    <t>FundaçãoMasc</t>
  </si>
  <si>
    <t>Processamento do pescado, fresco e seco</t>
  </si>
  <si>
    <t>FundaçãoQuirimba</t>
  </si>
  <si>
    <t>Estudo de avaliação de stok de pescado para posteriormente abastecer a fábrica de processamento de Mocímboa da Praia.</t>
  </si>
  <si>
    <t>Telecomunitaria</t>
  </si>
  <si>
    <t xml:space="preserve">Recolha de dados de produção do pescado </t>
  </si>
  <si>
    <t>Suashine</t>
  </si>
  <si>
    <t xml:space="preserve">Distribuição de mudas de cajueiro; </t>
  </si>
  <si>
    <t>Insumos Agrícolas;</t>
  </si>
  <si>
    <t>PENUD</t>
  </si>
  <si>
    <t>Insumos agrícolas, distribuição de pequenas indústrias</t>
  </si>
  <si>
    <t>Max Consultoria</t>
  </si>
  <si>
    <t>Criação de frangos;</t>
  </si>
  <si>
    <t>TRUE NORTH/ FDDP</t>
  </si>
  <si>
    <t>Apoio na Produção de Bambos Comercial;</t>
  </si>
  <si>
    <t>VeggieBaskkel</t>
  </si>
  <si>
    <t>Hortas.</t>
  </si>
  <si>
    <t>UNICEFF</t>
  </si>
  <si>
    <t xml:space="preserve">Construções de edificios escolares (TLS e Tendas);Promoção de higiene, água e saneamento do meio; Recuperação de crise económica.
</t>
  </si>
  <si>
    <t>Namuno</t>
  </si>
  <si>
    <t>AYUDA EN ACCION</t>
  </si>
  <si>
    <t>Apetrechamento de Kit Escola, Kit Recreativo, Kit Aluno, Lonas e Quadro de Giz;</t>
  </si>
  <si>
    <t>Formaçao de Ativista em matéria de saúde sexual reprodutiva.</t>
  </si>
  <si>
    <t>AGA-KHAN</t>
  </si>
  <si>
    <t xml:space="preserve">Capacitações  dos professores e alunos em matéria de combate a desnutriçãoApetrechamento de insumos agrícolas.
</t>
  </si>
  <si>
    <t>e</t>
  </si>
  <si>
    <t>SVN- Organização Holandesa para o Desenvolvimento</t>
  </si>
  <si>
    <t>Promoção de treinamento de Técnicos de área de produção escolar e jovens em habilidades básicas para vida, liderança e empreendedorismo em agro-negocos</t>
  </si>
  <si>
    <t>FUNDAÇÃO WIWANANA EM CORDENAÇAO COM APROGRESSO</t>
  </si>
  <si>
    <t xml:space="preserve">Formação de alunos activistas em matéria de saúde sexual reprodutiva e riscos de consumos de drogas e álcool.Construção de Raiz de salas aulas 
</t>
  </si>
  <si>
    <t xml:space="preserve">Implementação do projecto Viva +.Capacitação de professores em matéria de combate a malária
</t>
  </si>
  <si>
    <t>MUNDUKID</t>
  </si>
  <si>
    <t>Agricultura (fomento de culturas diversas, troca de experiencia entre produtores, venda de insumos)</t>
  </si>
  <si>
    <t>AVSI– WFP – FVL</t>
  </si>
  <si>
    <t xml:space="preserve">Agricultura (Assistência em insumos, pecuária);
Distribuição de Kits de auto-emprego;Piscicultura
</t>
  </si>
  <si>
    <t>IDE</t>
  </si>
  <si>
    <t xml:space="preserve">Agricultura (feira de insumos e produçã ode culturas diversas);Nutrição;Comercialização agrícola
</t>
  </si>
  <si>
    <t>BAYER</t>
  </si>
  <si>
    <t>Agricultura (Montagem de Campos de Demostração de Resultados - CDRs)</t>
  </si>
  <si>
    <t>SNV</t>
  </si>
  <si>
    <t xml:space="preserve">A redução de desnutrição;Mineração artesal; Nutrição;Desenvolvimento de cadeias de valores da soza;Melhoria da segurança alimentar.
</t>
  </si>
  <si>
    <t xml:space="preserve">Combate a desnutrição.Destribuição dsuplementos nutricionais em todas Unidades Sanitárias
</t>
  </si>
  <si>
    <t>FUNDAÇÃO WIWANANA</t>
  </si>
  <si>
    <t xml:space="preserve">Melhoria de saneamento do meio;Construção de centros nutricionais para demonstração culinária. 
</t>
  </si>
  <si>
    <t xml:space="preserve">CARITAS </t>
  </si>
  <si>
    <t xml:space="preserve">Promoção de meios de vida auto –sustentável;
Combate a desnutrição
</t>
  </si>
  <si>
    <t xml:space="preserve">Erradicação das infecções por HIV/SIDA e Tuberculose;Criação de plataforma de combate a desnutrição
</t>
  </si>
  <si>
    <t>ARIEL</t>
  </si>
  <si>
    <t xml:space="preserve">HIV/SIDA, </t>
  </si>
  <si>
    <t xml:space="preserve">Melhoria de saneamento do meio nas unidades Sanitárias;Construção de latrinas;Abertura de furos de água
</t>
  </si>
  <si>
    <t>YOUNG AFRICA</t>
  </si>
  <si>
    <t>Formação profissional da juventude para auto-emprego no pacote de electricidade.</t>
  </si>
  <si>
    <t>PROJECTO JOVEM</t>
  </si>
  <si>
    <t xml:space="preserve">Recuperação de crise económica para os jovensdo Norte e Sul de Cabo Delgado;Apostar em cadeia de valor e subsitituir de maquinarias para mãos-de-obras intensivas. 
</t>
  </si>
  <si>
    <t>Promoção de higiene, água e saneamento do meio.</t>
  </si>
  <si>
    <t>MédicosSemFronteirasMSF</t>
  </si>
  <si>
    <t>Saúde Mental e Apoio Psicossocial/Necessidades Básicas</t>
  </si>
  <si>
    <t>Nangade</t>
  </si>
  <si>
    <t>SaveTheChildren</t>
  </si>
  <si>
    <t>SaúdeMentaleApoio Psicossocial</t>
  </si>
  <si>
    <t>Saúde e Nutrição/Necessidades BásicaseDistribuiçãode Kits Alimentares</t>
  </si>
  <si>
    <t>CareInternational</t>
  </si>
  <si>
    <t>Violência Baseada no Género/Distribuiçãode Kits de Abrigo</t>
  </si>
  <si>
    <t>Helpcod</t>
  </si>
  <si>
    <t>Protecção da Criança/Documentação Civil</t>
  </si>
  <si>
    <t>Fundação para o Desenvolvimentoda Comunidade (FDC)</t>
  </si>
  <si>
    <t>Protecção da Criança/Rastreio, ReunificaçãoFamiliar,</t>
  </si>
  <si>
    <t>Programa de malaria</t>
  </si>
  <si>
    <t>Associacao de progresso</t>
  </si>
  <si>
    <t>Fundacao  Ariel</t>
  </si>
  <si>
    <t>ProgramaMalariaeSaúde Escolar</t>
  </si>
  <si>
    <t>PlanInternational</t>
  </si>
  <si>
    <t>Protecção da Criança/Educação</t>
  </si>
  <si>
    <t>GirlChildrenRights</t>
  </si>
  <si>
    <t>ProtecçãodaCriança</t>
  </si>
  <si>
    <t>SavetheChildren</t>
  </si>
  <si>
    <t>Protecção e educação</t>
  </si>
  <si>
    <t>HumanityInclusion</t>
  </si>
  <si>
    <t>Inclusãodepessoascom deficiência</t>
  </si>
  <si>
    <t>ComitéInternacionalda Cruz Vermelha</t>
  </si>
  <si>
    <t>Rastreio e Reunificação Familiar/Distribuição de KitsdeAbrigoedeHigiene</t>
  </si>
  <si>
    <t>TheMentorIniciative</t>
  </si>
  <si>
    <t>ÁguaeSaneamento</t>
  </si>
  <si>
    <t>OrganizaçãoInternacional das Migrações (OIM)</t>
  </si>
  <si>
    <t>Agua e Saneamento e RegistodosDeslocados</t>
  </si>
  <si>
    <t>AjudaPopulardaNoruega (APN)</t>
  </si>
  <si>
    <t>PrimeirosSocorros</t>
  </si>
  <si>
    <t>ManagementSistem International (MSI)</t>
  </si>
  <si>
    <t>RecolhadeDados</t>
  </si>
  <si>
    <t>Programa das Nações Unidas para o Desenvolvimento(PNUD)</t>
  </si>
  <si>
    <t>Estabilização</t>
  </si>
  <si>
    <t>RegistoCivil(Cédulas)</t>
  </si>
  <si>
    <r>
      <t>Província de:</t>
    </r>
    <r>
      <rPr>
        <b/>
        <sz val="12"/>
        <color theme="1"/>
        <rFont val="Bookman Old Style"/>
        <family val="1"/>
      </rPr>
      <t xml:space="preserve"> Cabo Delgado/Ibo</t>
    </r>
  </si>
  <si>
    <t>Fundação Ibo</t>
  </si>
  <si>
    <t xml:space="preserve">Nutrição e Educação </t>
  </si>
  <si>
    <t>Ibo</t>
  </si>
  <si>
    <t xml:space="preserve">OIKOS </t>
  </si>
  <si>
    <t xml:space="preserve">Agro-pecuária. </t>
  </si>
  <si>
    <t>Nutrição, Educação e Protecção</t>
  </si>
  <si>
    <t>Saúde, Protecção e Saúde Mental.</t>
  </si>
  <si>
    <t>ASMOG</t>
  </si>
  <si>
    <t>Segurança Alimentar, Protecção e Coordenação.</t>
  </si>
  <si>
    <r>
      <rPr>
        <sz val="12"/>
        <color theme="1"/>
        <rFont val="Bookman Old Style"/>
        <family val="1"/>
      </rPr>
      <t>Província de:</t>
    </r>
    <r>
      <rPr>
        <b/>
        <sz val="12"/>
        <color theme="1"/>
        <rFont val="Bookman Old Style"/>
        <family val="1"/>
      </rPr>
      <t xml:space="preserve"> Cabo Delgado/Meluco</t>
    </r>
  </si>
  <si>
    <t xml:space="preserve">ÁGUAS VIVAS </t>
  </si>
  <si>
    <t>ACÇÃO SOCIAL</t>
  </si>
  <si>
    <t>Meluco</t>
  </si>
  <si>
    <t>PROTEÇÃO DE CRIACAS, DISTRIBUIÇÃO DE KITS DE DIGNIDADE E ABRIGO</t>
  </si>
  <si>
    <t>DISTRIBUIÇÃO DE KITS DE DIGNIDADE E ABRIGO</t>
  </si>
  <si>
    <t>COMBATE DE HIV/SIDA</t>
  </si>
  <si>
    <t>RECUPERAÇÃO DE CRIANÇAS FORA DA ESCOLA E APOIO EM MATERIAL ESCOLAR</t>
  </si>
  <si>
    <t>GAVI</t>
  </si>
  <si>
    <t xml:space="preserve">APOIO A VACINAÇÃO </t>
  </si>
  <si>
    <t xml:space="preserve">NUTRIÇÃO </t>
  </si>
  <si>
    <t>HIGIENE ESCOLAR E SANEAMENTO DO MEIO</t>
  </si>
  <si>
    <t xml:space="preserve">APOIO DO ENSINO GERAL </t>
  </si>
  <si>
    <t>CONSTRUÇÕES ESCOLARES E ENSINO GERAL</t>
  </si>
  <si>
    <t>HUMANITY &amp; INCLUSION</t>
  </si>
  <si>
    <t>UNFPA</t>
  </si>
  <si>
    <t>APOIO EM KITS BÁSICOS MEDICINAIS</t>
  </si>
  <si>
    <t>APOIO EM SUPLEMENTO NUTRICIONAL</t>
  </si>
  <si>
    <r>
      <t>Província de:</t>
    </r>
    <r>
      <rPr>
        <b/>
        <sz val="12"/>
        <color theme="1"/>
        <rFont val="Bookman Old Style"/>
        <family val="1"/>
      </rPr>
      <t xml:space="preserve"> Cabo Delgado/Mueda</t>
    </r>
  </si>
  <si>
    <t>Acção Contra Fome (ACF</t>
  </si>
  <si>
    <t>Meio de subsistência</t>
  </si>
  <si>
    <t>Mueda</t>
  </si>
  <si>
    <t>Protecção a Crianãa / Violência Baseada no Genero</t>
  </si>
  <si>
    <t>ViolênciaBaseada no Genero</t>
  </si>
  <si>
    <t>Girl Child Rights (GCR)</t>
  </si>
  <si>
    <t xml:space="preserve"> Violência Baseada no Genero/ emponderamentoeconomico</t>
  </si>
  <si>
    <t>Migração/DTM</t>
  </si>
  <si>
    <t>Abrigo/Meio de subsistência/Proteção/ Resposta rapida de Emergência</t>
  </si>
  <si>
    <t>EngajamentoComunitario/Protecao</t>
  </si>
  <si>
    <t>Associacao Dimongo</t>
  </si>
  <si>
    <t>Protecao/Acesso segura de Terra</t>
  </si>
  <si>
    <t>ADPP</t>
  </si>
  <si>
    <t>Protecção no geral</t>
  </si>
  <si>
    <t>Saude/ Agua e Saneamento</t>
  </si>
  <si>
    <t xml:space="preserve">Solidarites Internacional </t>
  </si>
  <si>
    <t>Agua e Saneamento</t>
  </si>
  <si>
    <t>Comite Internacional da Cruz Vermelha CICV)</t>
  </si>
  <si>
    <t>AYUDA HEHAKOM</t>
  </si>
  <si>
    <r>
      <t>Província de:</t>
    </r>
    <r>
      <rPr>
        <b/>
        <sz val="12"/>
        <color theme="1"/>
        <rFont val="Bookman Old Style"/>
        <family val="1"/>
      </rPr>
      <t xml:space="preserve"> Cabo Delgado/Quissanga</t>
    </r>
  </si>
  <si>
    <r>
      <t>Província de:</t>
    </r>
    <r>
      <rPr>
        <b/>
        <sz val="12"/>
        <color theme="1"/>
        <rFont val="Bookman Old Style"/>
        <family val="1"/>
      </rPr>
      <t xml:space="preserve"> Cabo Delgado/Palma</t>
    </r>
  </si>
  <si>
    <r>
      <t>Província de:</t>
    </r>
    <r>
      <rPr>
        <b/>
        <sz val="12"/>
        <color theme="1"/>
        <rFont val="Bookman Old Style"/>
        <family val="1"/>
      </rPr>
      <t xml:space="preserve"> Cabo Delgado/Namuno</t>
    </r>
  </si>
  <si>
    <r>
      <t>Província de:</t>
    </r>
    <r>
      <rPr>
        <b/>
        <sz val="12"/>
        <color theme="1"/>
        <rFont val="Bookman Old Style"/>
        <family val="1"/>
      </rPr>
      <t xml:space="preserve"> Cabo Delgado/Nangade</t>
    </r>
  </si>
  <si>
    <t>Província de: C. Delgado/Micímboa da Praia</t>
  </si>
  <si>
    <t>UNOPSI</t>
  </si>
  <si>
    <t>CICV</t>
  </si>
  <si>
    <t>Save The Childrem</t>
  </si>
  <si>
    <t>Progresso</t>
  </si>
  <si>
    <t>Johanniter</t>
  </si>
  <si>
    <t>GCR</t>
  </si>
  <si>
    <t>WeWorld-GVC</t>
  </si>
  <si>
    <t>JOHANITTER</t>
  </si>
  <si>
    <t>CADEMA CORRES</t>
  </si>
  <si>
    <t>ASSOCIAÇÃO DIMONGO</t>
  </si>
  <si>
    <t>A el.J</t>
  </si>
  <si>
    <t>CRUZ VERMELHA</t>
  </si>
  <si>
    <t xml:space="preserve"> CEDES</t>
  </si>
  <si>
    <t>Habitação, terra e propriedade</t>
  </si>
  <si>
    <t>Populações vulneráveis, como as afetadas por conflitos, desastres naturais e epidemias</t>
  </si>
  <si>
    <r>
      <rPr>
        <b/>
        <sz val="12"/>
        <color rgb="FF000000"/>
        <rFont val="Bookman Old Style"/>
        <family val="1"/>
      </rPr>
      <t>Saúde:</t>
    </r>
    <r>
      <rPr>
        <sz val="12"/>
        <color rgb="FF000000"/>
        <rFont val="Bookman Old Style"/>
        <family val="1"/>
      </rPr>
      <t xml:space="preserve"> Fornecer cuidados de saúde essenciais a populações vulneráveis, como as afetadas por conflitos, desastres naturais e epidemias.</t>
    </r>
  </si>
  <si>
    <t>Populações vulneráveis e vítimas de eventos naturais extremos e de conflitos armados</t>
  </si>
  <si>
    <t>Deslocados vítimas de conflitos armados</t>
  </si>
  <si>
    <r>
      <rPr>
        <b/>
        <sz val="12"/>
        <color theme="1"/>
        <rFont val="Bookman Old Style"/>
        <family val="1"/>
      </rPr>
      <t>Assistência humanitária:</t>
    </r>
    <r>
      <rPr>
        <sz val="12"/>
        <color theme="1"/>
        <rFont val="Bookman Old Style"/>
        <family val="1"/>
      </rPr>
      <t xml:space="preserve"> Fornecer assistência e proteção a migrantes e deslocados</t>
    </r>
  </si>
  <si>
    <r>
      <rPr>
        <b/>
        <sz val="12"/>
        <color theme="1"/>
        <rFont val="Bookman Old Style"/>
        <family val="1"/>
      </rPr>
      <t>Assistência humanitária:</t>
    </r>
    <r>
      <rPr>
        <sz val="12"/>
        <color theme="1"/>
        <rFont val="Bookman Old Style"/>
        <family val="1"/>
      </rPr>
      <t xml:space="preserve"> Salvar vidas em emergências, fornecer assistência alimentar e construir resiliência a longo prazo  </t>
    </r>
  </si>
  <si>
    <t>Vítimas de conflitos armados e desastres naturais</t>
  </si>
  <si>
    <t>Crianças vulneráveis</t>
  </si>
  <si>
    <t>Mulheres grávidas e jovens</t>
  </si>
  <si>
    <r>
      <rPr>
        <b/>
        <sz val="12"/>
        <color theme="1"/>
        <rFont val="Bookman Old Style"/>
        <family val="1"/>
      </rPr>
      <t>Saúde:</t>
    </r>
    <r>
      <rPr>
        <sz val="12"/>
        <color theme="1"/>
        <rFont val="Bookman Old Style"/>
        <family val="1"/>
      </rPr>
      <t xml:space="preserve"> Garantir que todas as gravidezes sejam desejadas, os partos sejam seguros e o potencial dos jovens seja realizado </t>
    </r>
  </si>
  <si>
    <r>
      <rPr>
        <b/>
        <sz val="12"/>
        <color theme="1"/>
        <rFont val="Bookman Old Style"/>
        <family val="1"/>
      </rPr>
      <t>Assistência humanitária:</t>
    </r>
    <r>
      <rPr>
        <sz val="12"/>
        <color theme="1"/>
        <rFont val="Bookman Old Style"/>
        <family val="1"/>
      </rPr>
      <t xml:space="preserve"> proteção e assistência às vítimas de conflitos armados e desastres naturais</t>
    </r>
  </si>
  <si>
    <r>
      <rPr>
        <b/>
        <sz val="12"/>
        <color rgb="FF000000"/>
        <rFont val="Bookman Old Style"/>
        <family val="1"/>
      </rPr>
      <t>Educação e assistência humanitária:</t>
    </r>
    <r>
      <rPr>
        <sz val="12"/>
        <color rgb="FF000000"/>
        <rFont val="Bookman Old Style"/>
        <family val="1"/>
      </rPr>
      <t xml:space="preserve"> reforçar os direitos da criança e bem-estar, e garantir que elas tenham a oportunidade de sobreviver, aprender e ser protegidas</t>
    </r>
  </si>
  <si>
    <t xml:space="preserve">Comunidades locais </t>
  </si>
  <si>
    <r>
      <rPr>
        <b/>
        <sz val="12"/>
        <color theme="1"/>
        <rFont val="Bookman Old Style"/>
        <family val="1"/>
      </rPr>
      <t xml:space="preserve">Assistência social: </t>
    </r>
    <r>
      <rPr>
        <sz val="12"/>
        <color theme="1"/>
        <rFont val="Bookman Old Style"/>
        <family val="1"/>
      </rPr>
      <t>Fornecer ajuda essencial para melhorar as condições de vida em Moçambique</t>
    </r>
  </si>
  <si>
    <t>Crianças, com especial atenção às meninas</t>
  </si>
  <si>
    <r>
      <rPr>
        <b/>
        <sz val="12"/>
        <color theme="1"/>
        <rFont val="Bookman Old Style"/>
        <family val="1"/>
      </rPr>
      <t>Desenvolvimento comunitário:</t>
    </r>
    <r>
      <rPr>
        <sz val="12"/>
        <color theme="1"/>
        <rFont val="Bookman Old Style"/>
        <family val="1"/>
      </rPr>
      <t xml:space="preserve"> Contribuir para o desenvolvimento sustentável das comunidades de base, com foco na elevação da qualidade de vida da mulher e criança, e no aumento da sua capacidade de participação nos processos de desenvolvimento</t>
    </r>
  </si>
  <si>
    <r>
      <rPr>
        <b/>
        <sz val="12"/>
        <color theme="1"/>
        <rFont val="Bookman Old Style"/>
        <family val="1"/>
      </rPr>
      <t>Protecção social às crianças:</t>
    </r>
    <r>
      <rPr>
        <sz val="12"/>
        <color theme="1"/>
        <rFont val="Bookman Old Style"/>
        <family val="1"/>
      </rPr>
      <t xml:space="preserve"> Destacar e divulgar os direitos das crianças, com foco nos direitos das meninas</t>
    </r>
  </si>
  <si>
    <t>Comunidades vulneráveis, com especial enfoque nas mulheres e crianças</t>
  </si>
  <si>
    <r>
      <rPr>
        <b/>
        <sz val="12"/>
        <color rgb="FF000000"/>
        <rFont val="Bookman Old Style"/>
        <family val="1"/>
      </rPr>
      <t>Protecção social às mulheres e crianças:</t>
    </r>
    <r>
      <rPr>
        <sz val="12"/>
        <color rgb="FF000000"/>
        <rFont val="Bookman Old Style"/>
        <family val="1"/>
      </rPr>
      <t xml:space="preserve"> Garantir os directos das comunidades vulneraveis, a começar pelas mulheres e Criançs</t>
    </r>
  </si>
  <si>
    <t>Pequenos agricultores</t>
  </si>
  <si>
    <t xml:space="preserve">Pequenos agricultores e Pescadores artesanais </t>
  </si>
  <si>
    <t>Registo e Notariado</t>
  </si>
  <si>
    <t xml:space="preserve">Assistência social e questões de Género: Gestão de Caso promover a masculinidade posetiva nas comunidades atraves de secões no combate GCR </t>
  </si>
  <si>
    <r>
      <rPr>
        <b/>
        <sz val="12"/>
        <color theme="1"/>
        <rFont val="Bookman Old Style"/>
        <family val="1"/>
      </rPr>
      <t xml:space="preserve">Ajuda humanitária: </t>
    </r>
    <r>
      <rPr>
        <sz val="12"/>
        <color theme="1"/>
        <rFont val="Bookman Old Style"/>
        <family val="1"/>
      </rPr>
      <t xml:space="preserve">Estabelecer sistema de resposta e gesão caso para as crianças afetadas pelo conflito em Cabo Delgado </t>
    </r>
  </si>
  <si>
    <t>Vítimas do conflito armado em Cabo Delgado</t>
  </si>
  <si>
    <r>
      <rPr>
        <b/>
        <sz val="12"/>
        <color theme="1"/>
        <rFont val="Bookman Old Style"/>
        <family val="1"/>
      </rPr>
      <t xml:space="preserve">Saúde, água e saneamento e meios de subsistência: </t>
    </r>
    <r>
      <rPr>
        <sz val="12"/>
        <color theme="1"/>
        <rFont val="Bookman Old Style"/>
        <family val="1"/>
      </rPr>
      <t xml:space="preserve">Cuidado de saúde água potável saneamento, apoio a meio de substência e o restabelecimento familiar </t>
    </r>
  </si>
  <si>
    <t>Ajuda humanitária</t>
  </si>
  <si>
    <t>Populações vítimas de conflitos armados</t>
  </si>
  <si>
    <t>Assistência Social</t>
  </si>
  <si>
    <t>Mocímboa da Praia</t>
  </si>
  <si>
    <t>Milagre Rafael</t>
  </si>
  <si>
    <t>Abdul RemaneTuaia</t>
  </si>
  <si>
    <t xml:space="preserve">Paciencia </t>
  </si>
  <si>
    <t xml:space="preserve">Cordenador </t>
  </si>
  <si>
    <t>Basilio</t>
  </si>
  <si>
    <t>Bleina</t>
  </si>
  <si>
    <t>Ines</t>
  </si>
  <si>
    <t>Julio</t>
  </si>
  <si>
    <t>Pararua</t>
  </si>
  <si>
    <t>Juliasse</t>
  </si>
  <si>
    <r>
      <rPr>
        <b/>
        <sz val="12"/>
        <color theme="1"/>
        <rFont val="Bookman Old Style"/>
        <family val="1"/>
      </rPr>
      <t>Agricultura:</t>
    </r>
    <r>
      <rPr>
        <sz val="12"/>
        <color theme="1"/>
        <rFont val="Bookman Old Style"/>
        <family val="1"/>
      </rPr>
      <t xml:space="preserve"> Produção de alimentos </t>
    </r>
  </si>
  <si>
    <r>
      <rPr>
        <b/>
        <sz val="12"/>
        <color theme="1"/>
        <rFont val="Bookman Old Style"/>
        <family val="1"/>
      </rPr>
      <t>Agricultura:</t>
    </r>
    <r>
      <rPr>
        <sz val="12"/>
        <color theme="1"/>
        <rFont val="Bookman Old Style"/>
        <family val="1"/>
      </rPr>
      <t xml:space="preserve"> Segurança Alimentar</t>
    </r>
  </si>
  <si>
    <r>
      <rPr>
        <b/>
        <sz val="12"/>
        <color theme="1"/>
        <rFont val="Bookman Old Style"/>
        <family val="1"/>
      </rPr>
      <t>Agricultura:</t>
    </r>
    <r>
      <rPr>
        <sz val="12"/>
        <color theme="1"/>
        <rFont val="Bookman Old Style"/>
        <family val="1"/>
      </rPr>
      <t xml:space="preserve"> Produção Alimentar e Segurança Alimentar</t>
    </r>
  </si>
  <si>
    <r>
      <rPr>
        <b/>
        <sz val="12"/>
        <color theme="1"/>
        <rFont val="Bookman Old Style"/>
        <family val="1"/>
      </rPr>
      <t xml:space="preserve">Agricultura: </t>
    </r>
    <r>
      <rPr>
        <sz val="12"/>
        <color theme="1"/>
        <rFont val="Bookman Old Style"/>
        <family val="1"/>
      </rPr>
      <t>Produção Alimentar e Segurança Alimentar</t>
    </r>
  </si>
  <si>
    <r>
      <rPr>
        <b/>
        <sz val="12"/>
        <color theme="1"/>
        <rFont val="Bookman Old Style"/>
        <family val="1"/>
      </rPr>
      <t>Agricultura e Pesca:</t>
    </r>
    <r>
      <rPr>
        <sz val="12"/>
        <color theme="1"/>
        <rFont val="Bookman Old Style"/>
        <family val="1"/>
      </rPr>
      <t xml:space="preserve"> Produção de Pescado e segurança alimentar</t>
    </r>
  </si>
  <si>
    <r>
      <rPr>
        <b/>
        <sz val="12"/>
        <color theme="1"/>
        <rFont val="Bookman Old Style"/>
        <family val="1"/>
      </rPr>
      <t xml:space="preserve">Agricultura: </t>
    </r>
    <r>
      <rPr>
        <sz val="12"/>
        <color theme="1"/>
        <rFont val="Bookman Old Style"/>
        <family val="1"/>
      </rPr>
      <t xml:space="preserve">Produção de alimentos </t>
    </r>
  </si>
  <si>
    <r>
      <rPr>
        <b/>
        <sz val="12"/>
        <color rgb="FF000000"/>
        <rFont val="Bookman Old Style"/>
        <family val="1"/>
      </rPr>
      <t xml:space="preserve">Saúde ,  </t>
    </r>
    <r>
      <rPr>
        <sz val="12"/>
        <color rgb="FF000000"/>
        <rFont val="Bookman Old Style"/>
        <family val="1"/>
      </rPr>
      <t xml:space="preserve">prevenção e o controlo de doenças como hiv, tuberculose, malária e covid-19, bem como o fortalecimento dos sistemas de saúde locais e regionais; </t>
    </r>
    <r>
      <rPr>
        <b/>
        <sz val="12"/>
        <color rgb="FF000000"/>
        <rFont val="Bookman Old Style"/>
        <family val="1"/>
      </rPr>
      <t>Agricultura:</t>
    </r>
    <r>
      <rPr>
        <sz val="12"/>
        <color rgb="FF000000"/>
        <rFont val="Bookman Old Style"/>
        <family val="1"/>
      </rPr>
      <t xml:space="preserve">Produção de alimentos </t>
    </r>
    <r>
      <rPr>
        <b/>
        <sz val="12"/>
        <color rgb="FF000000"/>
        <rFont val="Bookman Old Style"/>
        <family val="1"/>
      </rPr>
      <t xml:space="preserve">  Registo e Notariado: </t>
    </r>
    <r>
      <rPr>
        <sz val="12"/>
        <color rgb="FF000000"/>
        <rFont val="Bookman Old Style"/>
        <family val="1"/>
      </rPr>
      <t>Prestação do serviços de registo de nascimento ( cédula /certidão)</t>
    </r>
  </si>
  <si>
    <t>Água e Saneameno</t>
  </si>
  <si>
    <t>agricultura</t>
  </si>
  <si>
    <t>Pesca</t>
  </si>
  <si>
    <t>Protecção social</t>
  </si>
  <si>
    <t>Habitação</t>
  </si>
  <si>
    <t>Educacao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</si>
</sst>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24" x14ac:knownFonts="1">
    <font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sz val="12"/>
      <color theme="1"/>
      <name val="Bookman Old Style"/>
      <family val="1"/>
    </font>
    <font>
      <u/>
      <sz val="11"/>
      <color theme="10"/>
      <name val="Calibri"/>
      <family val="2"/>
      <scheme val="minor"/>
    </font>
    <font>
      <sz val="11"/>
      <color theme="1"/>
      <name val="Bookman Old Style"/>
      <family val="1"/>
    </font>
    <font>
      <u/>
      <sz val="12"/>
      <color theme="1"/>
      <name val="Bookman Old Style"/>
      <family val="1"/>
    </font>
    <font>
      <b/>
      <sz val="11"/>
      <color theme="1"/>
      <name val="Bookman Old Style"/>
      <family val="1"/>
    </font>
    <font>
      <sz val="12"/>
      <color theme="1"/>
      <name val="Times New Roman"/>
      <family val="1"/>
    </font>
    <font>
      <sz val="12"/>
      <name val="Bookman Old Style"/>
      <family val="1"/>
    </font>
    <font>
      <sz val="13"/>
      <name val="Bookman Old Style"/>
      <family val="1"/>
    </font>
    <font>
      <sz val="12"/>
      <color rgb="FF111111"/>
      <name val="Bookman Old Style"/>
      <family val="1"/>
    </font>
    <font>
      <sz val="12"/>
      <color rgb="FF000000"/>
      <name val="Times New Roman"/>
      <family val="1"/>
    </font>
    <font>
      <sz val="12"/>
      <color rgb="FF001D35"/>
      <name val="Bookman Old Style"/>
      <family val="1"/>
    </font>
    <font>
      <sz val="12"/>
      <color rgb="FF1F1F1F"/>
      <name val="Bookman Old Style"/>
      <family val="1"/>
    </font>
    <font>
      <sz val="12"/>
      <color rgb="FF0A0A0A"/>
      <name val="Bookman Old Style"/>
      <family val="1"/>
    </font>
    <font>
      <sz val="12"/>
      <color rgb="FF000000"/>
      <name val="Bookman Old Style"/>
      <family val="1"/>
    </font>
    <font>
      <b/>
      <sz val="12"/>
      <color rgb="FF000000"/>
      <name val="Bookman Old Style"/>
      <family val="1"/>
    </font>
    <font>
      <b/>
      <sz val="12"/>
      <color rgb="FF0A0A0A"/>
      <name val="Bookman Old Style"/>
      <family val="1"/>
    </font>
    <font>
      <b/>
      <sz val="12"/>
      <color rgb="FF001D35"/>
      <name val="Bookman Old Style"/>
      <family val="1"/>
    </font>
    <font>
      <b/>
      <sz val="12"/>
      <color rgb="FF1F1F1F"/>
      <name val="Bookman Old Style"/>
      <family val="1"/>
    </font>
    <font>
      <sz val="10"/>
      <color theme="1"/>
      <name val="Bookman Old Style"/>
      <family val="1"/>
    </font>
    <font>
      <sz val="12"/>
      <color theme="1"/>
      <name val="Calibri"/>
      <family val="2"/>
      <scheme val="minor"/>
    </font>
    <font>
      <b/>
      <sz val="11"/>
      <color rgb="FFFF000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5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/>
    <xf numFmtId="0" fontId="1" fillId="3" borderId="8" xfId="0" applyFont="1" applyFill="1" applyBorder="1" applyAlignment="1">
      <alignment horizontal="center" vertical="center"/>
    </xf>
    <xf numFmtId="0" fontId="3" fillId="3" borderId="8" xfId="0" applyFont="1" applyFill="1" applyBorder="1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3" fillId="0" borderId="6" xfId="0" applyFont="1" applyBorder="1" applyAlignment="1">
      <alignment horizontal="justify" vertical="top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wrapText="1"/>
    </xf>
    <xf numFmtId="0" fontId="3" fillId="2" borderId="7" xfId="1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 wrapText="1"/>
    </xf>
    <xf numFmtId="0" fontId="3" fillId="2" borderId="7" xfId="1" applyFont="1" applyFill="1" applyBorder="1" applyAlignment="1" applyProtection="1">
      <alignment horizontal="center" vertical="center" wrapText="1" readingOrder="1"/>
    </xf>
    <xf numFmtId="0" fontId="3" fillId="2" borderId="7" xfId="1" applyFont="1" applyFill="1" applyBorder="1" applyAlignment="1" applyProtection="1">
      <alignment horizontal="left" vertical="center" wrapText="1" readingOrder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wrapText="1"/>
    </xf>
    <xf numFmtId="0" fontId="3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1" applyFont="1" applyFill="1" applyBorder="1" applyAlignment="1" applyProtection="1">
      <alignment horizontal="left" vertical="center" wrapText="1" readingOrder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3" fillId="0" borderId="6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justify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top" wrapText="1"/>
    </xf>
    <xf numFmtId="0" fontId="1" fillId="0" borderId="26" xfId="0" applyFont="1" applyBorder="1" applyAlignment="1">
      <alignment horizontal="center" vertical="center"/>
    </xf>
    <xf numFmtId="0" fontId="3" fillId="0" borderId="28" xfId="0" applyFont="1" applyBorder="1" applyAlignment="1">
      <alignment horizontal="justify" vertical="top" wrapText="1"/>
    </xf>
    <xf numFmtId="0" fontId="3" fillId="0" borderId="29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center" wrapText="1"/>
    </xf>
    <xf numFmtId="0" fontId="3" fillId="0" borderId="0" xfId="0" applyFont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justify" vertical="top" wrapText="1"/>
    </xf>
    <xf numFmtId="0" fontId="8" fillId="0" borderId="6" xfId="0" applyFont="1" applyBorder="1" applyAlignment="1">
      <alignment horizontal="justify" vertical="center" wrapText="1"/>
    </xf>
    <xf numFmtId="0" fontId="8" fillId="0" borderId="31" xfId="0" applyFont="1" applyBorder="1" applyAlignment="1">
      <alignment horizontal="justify" vertical="center" wrapText="1"/>
    </xf>
    <xf numFmtId="0" fontId="8" fillId="0" borderId="32" xfId="0" applyFont="1" applyBorder="1" applyAlignment="1">
      <alignment horizontal="justify" vertical="center" wrapText="1"/>
    </xf>
    <xf numFmtId="0" fontId="1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35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justify" vertical="top" wrapText="1"/>
    </xf>
    <xf numFmtId="0" fontId="3" fillId="0" borderId="32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left" wrapText="1"/>
    </xf>
    <xf numFmtId="0" fontId="3" fillId="0" borderId="6" xfId="0" applyFont="1" applyBorder="1" applyAlignment="1">
      <alignment horizontal="left"/>
    </xf>
    <xf numFmtId="0" fontId="3" fillId="0" borderId="12" xfId="0" applyFont="1" applyBorder="1" applyAlignment="1">
      <alignment horizontal="left" wrapText="1"/>
    </xf>
    <xf numFmtId="0" fontId="3" fillId="0" borderId="35" xfId="0" applyFont="1" applyBorder="1" applyAlignment="1">
      <alignment horizontal="left"/>
    </xf>
    <xf numFmtId="0" fontId="3" fillId="0" borderId="12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0" xfId="0" applyFont="1" applyAlignment="1">
      <alignment horizontal="justify" vertical="center" wrapText="1"/>
    </xf>
    <xf numFmtId="0" fontId="3" fillId="0" borderId="31" xfId="0" applyFont="1" applyBorder="1" applyAlignment="1">
      <alignment horizontal="justify" vertical="center" wrapText="1"/>
    </xf>
    <xf numFmtId="0" fontId="3" fillId="0" borderId="17" xfId="0" applyFont="1" applyBorder="1" applyAlignment="1">
      <alignment horizontal="justify" vertical="center" wrapText="1"/>
    </xf>
    <xf numFmtId="0" fontId="3" fillId="0" borderId="32" xfId="0" applyFont="1" applyBorder="1" applyAlignment="1">
      <alignment horizontal="justify" vertical="center" wrapText="1"/>
    </xf>
    <xf numFmtId="0" fontId="3" fillId="4" borderId="32" xfId="0" applyFont="1" applyFill="1" applyBorder="1" applyAlignment="1">
      <alignment horizontal="justify" vertical="center" wrapText="1"/>
    </xf>
    <xf numFmtId="0" fontId="3" fillId="0" borderId="32" xfId="0" applyFont="1" applyBorder="1" applyAlignment="1">
      <alignment horizontal="justify" vertical="center"/>
    </xf>
    <xf numFmtId="0" fontId="3" fillId="0" borderId="12" xfId="0" applyFont="1" applyBorder="1" applyAlignment="1">
      <alignment vertical="center" wrapText="1"/>
    </xf>
    <xf numFmtId="0" fontId="3" fillId="0" borderId="32" xfId="0" applyFont="1" applyBorder="1" applyAlignment="1">
      <alignment horizontal="left" vertical="top" wrapText="1"/>
    </xf>
    <xf numFmtId="0" fontId="3" fillId="0" borderId="32" xfId="0" applyFont="1" applyBorder="1" applyAlignment="1">
      <alignment vertical="center" wrapText="1"/>
    </xf>
    <xf numFmtId="0" fontId="3" fillId="0" borderId="32" xfId="0" applyFont="1" applyBorder="1" applyAlignment="1">
      <alignment wrapText="1"/>
    </xf>
    <xf numFmtId="0" fontId="3" fillId="0" borderId="32" xfId="0" applyFont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top" wrapText="1"/>
    </xf>
    <xf numFmtId="0" fontId="3" fillId="0" borderId="28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0" fontId="3" fillId="0" borderId="37" xfId="0" applyFont="1" applyBorder="1" applyAlignment="1">
      <alignment horizontal="left" vertical="top" wrapText="1"/>
    </xf>
    <xf numFmtId="0" fontId="3" fillId="0" borderId="38" xfId="0" applyFont="1" applyBorder="1" applyAlignment="1">
      <alignment horizontal="left" wrapText="1"/>
    </xf>
    <xf numFmtId="0" fontId="3" fillId="0" borderId="32" xfId="0" applyFont="1" applyBorder="1" applyAlignment="1">
      <alignment horizontal="left"/>
    </xf>
    <xf numFmtId="0" fontId="3" fillId="0" borderId="29" xfId="0" applyFont="1" applyBorder="1" applyAlignment="1">
      <alignment horizontal="justify" vertical="center" wrapText="1"/>
    </xf>
    <xf numFmtId="0" fontId="3" fillId="0" borderId="34" xfId="0" applyFont="1" applyBorder="1" applyAlignment="1">
      <alignment horizontal="justify" vertical="center" wrapText="1"/>
    </xf>
    <xf numFmtId="0" fontId="3" fillId="0" borderId="14" xfId="0" applyFont="1" applyBorder="1" applyAlignment="1">
      <alignment horizontal="justify" vertical="center" wrapText="1"/>
    </xf>
    <xf numFmtId="0" fontId="3" fillId="0" borderId="39" xfId="0" applyFont="1" applyBorder="1"/>
    <xf numFmtId="0" fontId="3" fillId="2" borderId="34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29" xfId="0" applyFont="1" applyBorder="1" applyAlignment="1">
      <alignment vertical="center"/>
    </xf>
    <xf numFmtId="0" fontId="10" fillId="0" borderId="6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1" fillId="0" borderId="0" xfId="0" applyFont="1" applyAlignment="1">
      <alignment horizontal="left" wrapText="1"/>
    </xf>
    <xf numFmtId="0" fontId="3" fillId="0" borderId="17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left"/>
    </xf>
    <xf numFmtId="0" fontId="3" fillId="0" borderId="39" xfId="0" applyFont="1" applyBorder="1" applyAlignment="1">
      <alignment horizontal="left"/>
    </xf>
    <xf numFmtId="0" fontId="3" fillId="0" borderId="6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/>
    </xf>
    <xf numFmtId="0" fontId="3" fillId="0" borderId="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32" xfId="0" applyFont="1" applyFill="1" applyBorder="1" applyAlignment="1">
      <alignment horizontal="left" vertical="center" wrapText="1"/>
    </xf>
    <xf numFmtId="0" fontId="3" fillId="3" borderId="29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41" xfId="0" applyFont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left" wrapText="1"/>
    </xf>
    <xf numFmtId="0" fontId="3" fillId="3" borderId="29" xfId="0" applyFont="1" applyFill="1" applyBorder="1"/>
    <xf numFmtId="0" fontId="3" fillId="3" borderId="14" xfId="0" applyFont="1" applyFill="1" applyBorder="1" applyAlignment="1">
      <alignment horizontal="left" vertical="center" wrapText="1"/>
    </xf>
    <xf numFmtId="0" fontId="3" fillId="3" borderId="29" xfId="0" applyFont="1" applyFill="1" applyBorder="1" applyAlignment="1">
      <alignment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40" xfId="1" applyFont="1" applyFill="1" applyBorder="1" applyAlignment="1" applyProtection="1">
      <alignment horizontal="left" vertical="center" wrapText="1" readingOrder="1"/>
    </xf>
    <xf numFmtId="0" fontId="1" fillId="0" borderId="31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5" fillId="0" borderId="44" xfId="0" applyFont="1" applyBorder="1"/>
    <xf numFmtId="0" fontId="8" fillId="0" borderId="0" xfId="0" applyFont="1" applyAlignment="1">
      <alignment vertical="center" wrapText="1"/>
    </xf>
    <xf numFmtId="0" fontId="8" fillId="0" borderId="35" xfId="0" applyFont="1" applyBorder="1" applyAlignment="1">
      <alignment vertical="center" wrapText="1"/>
    </xf>
    <xf numFmtId="0" fontId="8" fillId="0" borderId="47" xfId="0" applyFont="1" applyBorder="1" applyAlignment="1">
      <alignment vertical="center" wrapText="1"/>
    </xf>
    <xf numFmtId="0" fontId="8" fillId="0" borderId="38" xfId="0" applyFont="1" applyBorder="1" applyAlignment="1">
      <alignment vertical="center" wrapText="1"/>
    </xf>
    <xf numFmtId="0" fontId="8" fillId="0" borderId="37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3" fillId="3" borderId="45" xfId="0" applyFont="1" applyFill="1" applyBorder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37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3" fillId="0" borderId="6" xfId="0" applyFont="1" applyBorder="1" applyAlignment="1">
      <alignment wrapText="1"/>
    </xf>
    <xf numFmtId="0" fontId="14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vertical="center" wrapText="1"/>
    </xf>
    <xf numFmtId="0" fontId="15" fillId="0" borderId="0" xfId="0" applyFont="1" applyAlignment="1">
      <alignment wrapText="1"/>
    </xf>
    <xf numFmtId="0" fontId="12" fillId="0" borderId="35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/>
    </xf>
    <xf numFmtId="0" fontId="8" fillId="0" borderId="32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" fillId="0" borderId="6" xfId="0" applyFont="1" applyBorder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1" fillId="0" borderId="12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/>
    </xf>
    <xf numFmtId="0" fontId="9" fillId="0" borderId="0" xfId="0" applyFont="1" applyAlignment="1">
      <alignment wrapText="1"/>
    </xf>
    <xf numFmtId="0" fontId="3" fillId="0" borderId="35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wrapText="1"/>
    </xf>
    <xf numFmtId="0" fontId="1" fillId="0" borderId="12" xfId="0" applyFont="1" applyBorder="1" applyAlignment="1">
      <alignment horizontal="center" vertical="center"/>
    </xf>
    <xf numFmtId="0" fontId="1" fillId="0" borderId="30" xfId="0" applyFont="1" applyBorder="1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3" fillId="0" borderId="5" xfId="0" applyFont="1" applyBorder="1"/>
    <xf numFmtId="0" fontId="21" fillId="0" borderId="6" xfId="0" applyFont="1" applyBorder="1" applyAlignment="1">
      <alignment horizontal="center"/>
    </xf>
    <xf numFmtId="0" fontId="21" fillId="0" borderId="6" xfId="0" applyFont="1" applyBorder="1"/>
    <xf numFmtId="0" fontId="3" fillId="0" borderId="7" xfId="0" applyFont="1" applyBorder="1" applyAlignment="1">
      <alignment horizontal="center"/>
    </xf>
    <xf numFmtId="0" fontId="21" fillId="0" borderId="34" xfId="0" applyFont="1" applyBorder="1" applyAlignment="1">
      <alignment horizontal="left" vertical="center" wrapText="1"/>
    </xf>
    <xf numFmtId="0" fontId="3" fillId="0" borderId="32" xfId="0" applyFont="1" applyBorder="1"/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vertical="top"/>
    </xf>
    <xf numFmtId="0" fontId="21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21" fillId="0" borderId="32" xfId="0" applyFont="1" applyBorder="1" applyAlignment="1">
      <alignment horizontal="left" vertical="center" wrapText="1"/>
    </xf>
    <xf numFmtId="0" fontId="21" fillId="0" borderId="17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center"/>
    </xf>
    <xf numFmtId="0" fontId="21" fillId="0" borderId="6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top"/>
    </xf>
    <xf numFmtId="0" fontId="21" fillId="0" borderId="6" xfId="0" applyFont="1" applyBorder="1" applyAlignment="1">
      <alignment horizontal="justify" vertical="center" wrapText="1"/>
    </xf>
    <xf numFmtId="0" fontId="21" fillId="0" borderId="29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/>
    </xf>
    <xf numFmtId="0" fontId="21" fillId="0" borderId="34" xfId="0" applyFont="1" applyBorder="1" applyAlignment="1">
      <alignment horizontal="justify" vertical="center" wrapText="1"/>
    </xf>
    <xf numFmtId="0" fontId="3" fillId="0" borderId="32" xfId="0" applyFont="1" applyBorder="1" applyAlignment="1">
      <alignment vertical="top"/>
    </xf>
    <xf numFmtId="0" fontId="3" fillId="0" borderId="32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29" xfId="0" applyFont="1" applyBorder="1" applyAlignment="1">
      <alignment horizontal="center" vertical="top"/>
    </xf>
    <xf numFmtId="0" fontId="3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3" fillId="3" borderId="5" xfId="0" applyFont="1" applyFill="1" applyBorder="1"/>
    <xf numFmtId="0" fontId="21" fillId="3" borderId="6" xfId="0" applyFont="1" applyFill="1" applyBorder="1"/>
    <xf numFmtId="0" fontId="3" fillId="3" borderId="7" xfId="0" applyFont="1" applyFill="1" applyBorder="1" applyAlignment="1">
      <alignment horizontal="center"/>
    </xf>
    <xf numFmtId="0" fontId="0" fillId="3" borderId="0" xfId="0" applyFill="1"/>
    <xf numFmtId="0" fontId="16" fillId="0" borderId="6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/>
    </xf>
    <xf numFmtId="0" fontId="16" fillId="0" borderId="6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wrapText="1"/>
    </xf>
    <xf numFmtId="0" fontId="16" fillId="3" borderId="6" xfId="0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left" vertical="top" wrapText="1"/>
    </xf>
    <xf numFmtId="0" fontId="3" fillId="3" borderId="6" xfId="0" applyFont="1" applyFill="1" applyBorder="1"/>
    <xf numFmtId="0" fontId="3" fillId="3" borderId="0" xfId="0" applyFont="1" applyFill="1"/>
    <xf numFmtId="0" fontId="22" fillId="0" borderId="0" xfId="0" applyFont="1"/>
    <xf numFmtId="0" fontId="3" fillId="0" borderId="5" xfId="0" applyFont="1" applyBorder="1" applyAlignment="1">
      <alignment horizontal="left" vertical="top" wrapText="1"/>
    </xf>
    <xf numFmtId="0" fontId="3" fillId="0" borderId="34" xfId="0" applyFont="1" applyBorder="1" applyAlignment="1">
      <alignment vertical="top" wrapText="1"/>
    </xf>
    <xf numFmtId="0" fontId="3" fillId="0" borderId="37" xfId="0" applyFont="1" applyBorder="1" applyAlignment="1">
      <alignment horizontal="justify" vertical="top" wrapText="1"/>
    </xf>
    <xf numFmtId="0" fontId="3" fillId="0" borderId="38" xfId="0" applyFont="1" applyBorder="1" applyAlignment="1">
      <alignment horizontal="justify" vertical="top" wrapText="1"/>
    </xf>
    <xf numFmtId="0" fontId="3" fillId="0" borderId="34" xfId="0" applyFont="1" applyBorder="1" applyAlignment="1">
      <alignment horizontal="left" vertical="center" wrapText="1"/>
    </xf>
    <xf numFmtId="0" fontId="3" fillId="3" borderId="32" xfId="0" applyFont="1" applyFill="1" applyBorder="1" applyAlignment="1">
      <alignment vertical="top" wrapText="1"/>
    </xf>
    <xf numFmtId="0" fontId="3" fillId="3" borderId="6" xfId="0" applyFont="1" applyFill="1" applyBorder="1" applyAlignment="1">
      <alignment horizontal="left"/>
    </xf>
    <xf numFmtId="0" fontId="22" fillId="3" borderId="0" xfId="0" applyFont="1" applyFill="1"/>
    <xf numFmtId="0" fontId="3" fillId="0" borderId="6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3" fillId="0" borderId="32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3" fillId="0" borderId="31" xfId="0" applyFont="1" applyBorder="1" applyAlignment="1">
      <alignment vertical="top" wrapText="1"/>
    </xf>
    <xf numFmtId="0" fontId="3" fillId="0" borderId="30" xfId="0" applyFont="1" applyBorder="1" applyAlignment="1">
      <alignment vertical="top" wrapText="1"/>
    </xf>
    <xf numFmtId="0" fontId="3" fillId="0" borderId="29" xfId="0" applyFont="1" applyBorder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0" borderId="6" xfId="0" applyFont="1" applyBorder="1" applyAlignment="1">
      <alignment horizontal="justify" vertical="top"/>
    </xf>
    <xf numFmtId="0" fontId="3" fillId="0" borderId="17" xfId="0" applyFont="1" applyBorder="1"/>
    <xf numFmtId="0" fontId="3" fillId="0" borderId="17" xfId="0" applyFont="1" applyBorder="1" applyAlignment="1">
      <alignment horizontal="justify"/>
    </xf>
    <xf numFmtId="0" fontId="3" fillId="0" borderId="38" xfId="0" applyFont="1" applyBorder="1"/>
    <xf numFmtId="0" fontId="3" fillId="3" borderId="6" xfId="0" applyFont="1" applyFill="1" applyBorder="1" applyAlignment="1">
      <alignment vertical="top"/>
    </xf>
    <xf numFmtId="0" fontId="3" fillId="3" borderId="6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38" xfId="0" applyFont="1" applyFill="1" applyBorder="1"/>
    <xf numFmtId="0" fontId="1" fillId="3" borderId="6" xfId="0" applyFont="1" applyFill="1" applyBorder="1" applyAlignment="1">
      <alignment horizontal="center"/>
    </xf>
    <xf numFmtId="0" fontId="3" fillId="0" borderId="12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3" fillId="0" borderId="14" xfId="0" applyFont="1" applyBorder="1" applyAlignment="1">
      <alignment vertical="center" wrapText="1"/>
    </xf>
    <xf numFmtId="0" fontId="3" fillId="0" borderId="29" xfId="0" applyFont="1" applyBorder="1" applyAlignment="1">
      <alignment vertical="center" wrapText="1"/>
    </xf>
    <xf numFmtId="0" fontId="3" fillId="0" borderId="31" xfId="0" applyFont="1" applyBorder="1" applyAlignment="1">
      <alignment vertical="center" wrapText="1"/>
    </xf>
    <xf numFmtId="0" fontId="3" fillId="0" borderId="38" xfId="0" applyFont="1" applyBorder="1" applyAlignment="1">
      <alignment vertical="center" wrapText="1"/>
    </xf>
    <xf numFmtId="0" fontId="3" fillId="0" borderId="38" xfId="0" applyFont="1" applyBorder="1" applyAlignment="1">
      <alignment vertical="top" wrapText="1"/>
    </xf>
    <xf numFmtId="0" fontId="3" fillId="0" borderId="34" xfId="0" applyFont="1" applyBorder="1" applyAlignment="1">
      <alignment vertical="center" wrapText="1"/>
    </xf>
    <xf numFmtId="0" fontId="8" fillId="3" borderId="38" xfId="0" applyFont="1" applyFill="1" applyBorder="1"/>
    <xf numFmtId="0" fontId="3" fillId="3" borderId="29" xfId="0" applyFont="1" applyFill="1" applyBorder="1" applyAlignment="1">
      <alignment horizontal="center" vertical="top"/>
    </xf>
    <xf numFmtId="0" fontId="3" fillId="3" borderId="29" xfId="0" applyFont="1" applyFill="1" applyBorder="1" applyAlignment="1">
      <alignment horizontal="justify" vertical="top" wrapText="1"/>
    </xf>
    <xf numFmtId="0" fontId="3" fillId="3" borderId="29" xfId="0" applyFont="1" applyFill="1" applyBorder="1" applyAlignment="1">
      <alignment horizontal="left" vertical="top" wrapText="1"/>
    </xf>
    <xf numFmtId="0" fontId="3" fillId="3" borderId="29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top"/>
    </xf>
    <xf numFmtId="0" fontId="21" fillId="3" borderId="32" xfId="0" applyFont="1" applyFill="1" applyBorder="1" applyAlignment="1">
      <alignment horizontal="left" vertical="top" wrapText="1"/>
    </xf>
    <xf numFmtId="0" fontId="1" fillId="3" borderId="29" xfId="0" applyFont="1" applyFill="1" applyBorder="1" applyAlignment="1">
      <alignment horizontal="center" vertical="top"/>
    </xf>
    <xf numFmtId="0" fontId="21" fillId="3" borderId="6" xfId="0" applyFont="1" applyFill="1" applyBorder="1" applyAlignment="1">
      <alignment horizontal="justify" vertical="top" wrapText="1"/>
    </xf>
    <xf numFmtId="0" fontId="21" fillId="3" borderId="29" xfId="0" applyFont="1" applyFill="1" applyBorder="1" applyAlignment="1">
      <alignment horizontal="center"/>
    </xf>
    <xf numFmtId="0" fontId="21" fillId="3" borderId="29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top"/>
    </xf>
    <xf numFmtId="0" fontId="3" fillId="3" borderId="32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justify" vertical="top" wrapText="1"/>
    </xf>
    <xf numFmtId="0" fontId="1" fillId="0" borderId="53" xfId="0" applyFont="1" applyBorder="1" applyAlignment="1">
      <alignment horizontal="center" vertical="center"/>
    </xf>
    <xf numFmtId="0" fontId="7" fillId="0" borderId="0" xfId="0" applyFont="1"/>
    <xf numFmtId="0" fontId="3" fillId="0" borderId="38" xfId="0" applyFont="1" applyBorder="1" applyAlignment="1">
      <alignment vertical="center"/>
    </xf>
    <xf numFmtId="0" fontId="16" fillId="0" borderId="34" xfId="0" applyFont="1" applyBorder="1" applyAlignment="1">
      <alignment horizontal="left" vertical="top" wrapText="1"/>
    </xf>
    <xf numFmtId="0" fontId="3" fillId="0" borderId="34" xfId="0" applyFont="1" applyBorder="1" applyAlignment="1">
      <alignment horizontal="left" vertical="top" wrapText="1"/>
    </xf>
    <xf numFmtId="0" fontId="16" fillId="0" borderId="1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0" fontId="16" fillId="0" borderId="6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justify" vertical="top" wrapText="1"/>
    </xf>
    <xf numFmtId="0" fontId="1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top" wrapText="1"/>
    </xf>
    <xf numFmtId="0" fontId="3" fillId="5" borderId="6" xfId="0" applyFont="1" applyFill="1" applyBorder="1" applyAlignment="1">
      <alignment horizontal="left"/>
    </xf>
    <xf numFmtId="0" fontId="3" fillId="5" borderId="12" xfId="0" applyFont="1" applyFill="1" applyBorder="1" applyAlignment="1">
      <alignment horizontal="left"/>
    </xf>
    <xf numFmtId="0" fontId="3" fillId="5" borderId="6" xfId="0" applyFont="1" applyFill="1" applyBorder="1" applyAlignment="1">
      <alignment horizontal="left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3" fillId="5" borderId="7" xfId="1" applyFont="1" applyFill="1" applyBorder="1" applyAlignment="1">
      <alignment horizontal="left" vertical="center" wrapText="1"/>
    </xf>
    <xf numFmtId="0" fontId="5" fillId="5" borderId="0" xfId="0" applyFont="1" applyFill="1"/>
    <xf numFmtId="0" fontId="23" fillId="0" borderId="0" xfId="0" applyFont="1"/>
    <xf numFmtId="164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0" borderId="3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6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51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/>
    </xf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1782535</xdr:colOff>
      <xdr:row>0</xdr:row>
      <xdr:rowOff>10348</xdr:rowOff>
    </xdr:from>
    <xdr:to>
      <xdr:col>8</xdr:col>
      <xdr:colOff>349815</xdr:colOff>
      <xdr:row>4</xdr:row>
      <xdr:rowOff>140041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07260" y="10348"/>
          <a:ext cx="977105" cy="9297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1782535</xdr:colOff>
      <xdr:row>0</xdr:row>
      <xdr:rowOff>10348</xdr:rowOff>
    </xdr:from>
    <xdr:to>
      <xdr:col>8</xdr:col>
      <xdr:colOff>349815</xdr:colOff>
      <xdr:row>4</xdr:row>
      <xdr:rowOff>140041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07260" y="10348"/>
          <a:ext cx="977105" cy="9297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1782535</xdr:colOff>
      <xdr:row>0</xdr:row>
      <xdr:rowOff>10348</xdr:rowOff>
    </xdr:from>
    <xdr:to>
      <xdr:col>8</xdr:col>
      <xdr:colOff>349815</xdr:colOff>
      <xdr:row>4</xdr:row>
      <xdr:rowOff>140041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07260" y="10348"/>
          <a:ext cx="977105" cy="9297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1782535</xdr:colOff>
      <xdr:row>0</xdr:row>
      <xdr:rowOff>10348</xdr:rowOff>
    </xdr:from>
    <xdr:to>
      <xdr:col>8</xdr:col>
      <xdr:colOff>349815</xdr:colOff>
      <xdr:row>4</xdr:row>
      <xdr:rowOff>140041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07260" y="10348"/>
          <a:ext cx="977105" cy="9297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1782535</xdr:colOff>
      <xdr:row>0</xdr:row>
      <xdr:rowOff>10348</xdr:rowOff>
    </xdr:from>
    <xdr:to>
      <xdr:col>8</xdr:col>
      <xdr:colOff>349815</xdr:colOff>
      <xdr:row>4</xdr:row>
      <xdr:rowOff>140041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07260" y="10348"/>
          <a:ext cx="977105" cy="9297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1782535</xdr:colOff>
      <xdr:row>0</xdr:row>
      <xdr:rowOff>10348</xdr:rowOff>
    </xdr:from>
    <xdr:to>
      <xdr:col>8</xdr:col>
      <xdr:colOff>349815</xdr:colOff>
      <xdr:row>4</xdr:row>
      <xdr:rowOff>140041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07260" y="10348"/>
          <a:ext cx="977105" cy="9297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961390</xdr:colOff>
      <xdr:row>0</xdr:row>
      <xdr:rowOff>636</xdr:rowOff>
    </xdr:from>
    <xdr:to>
      <xdr:col>7</xdr:col>
      <xdr:colOff>417195</xdr:colOff>
      <xdr:row>0</xdr:row>
      <xdr:rowOff>771526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09815" y="636"/>
          <a:ext cx="732155" cy="7708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961390</xdr:colOff>
      <xdr:row>0</xdr:row>
      <xdr:rowOff>636</xdr:rowOff>
    </xdr:from>
    <xdr:to>
      <xdr:col>7</xdr:col>
      <xdr:colOff>417195</xdr:colOff>
      <xdr:row>0</xdr:row>
      <xdr:rowOff>752476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09815" y="636"/>
          <a:ext cx="732155" cy="7518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961390</xdr:colOff>
      <xdr:row>0</xdr:row>
      <xdr:rowOff>635</xdr:rowOff>
    </xdr:from>
    <xdr:to>
      <xdr:col>7</xdr:col>
      <xdr:colOff>417195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09815" y="635"/>
          <a:ext cx="732155" cy="780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961390</xdr:colOff>
      <xdr:row>0</xdr:row>
      <xdr:rowOff>636</xdr:rowOff>
    </xdr:from>
    <xdr:to>
      <xdr:col>7</xdr:col>
      <xdr:colOff>417195</xdr:colOff>
      <xdr:row>1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09815" y="636"/>
          <a:ext cx="732155" cy="7899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961390</xdr:colOff>
      <xdr:row>0</xdr:row>
      <xdr:rowOff>636</xdr:rowOff>
    </xdr:from>
    <xdr:to>
      <xdr:col>7</xdr:col>
      <xdr:colOff>417195</xdr:colOff>
      <xdr:row>0</xdr:row>
      <xdr:rowOff>809626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09815" y="636"/>
          <a:ext cx="732155" cy="8089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961390</xdr:colOff>
      <xdr:row>0</xdr:row>
      <xdr:rowOff>635</xdr:rowOff>
    </xdr:from>
    <xdr:to>
      <xdr:col>7</xdr:col>
      <xdr:colOff>417195</xdr:colOff>
      <xdr:row>0</xdr:row>
      <xdr:rowOff>742950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09815" y="635"/>
          <a:ext cx="732155" cy="7423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961390</xdr:colOff>
      <xdr:row>0</xdr:row>
      <xdr:rowOff>636</xdr:rowOff>
    </xdr:from>
    <xdr:to>
      <xdr:col>7</xdr:col>
      <xdr:colOff>417195</xdr:colOff>
      <xdr:row>0</xdr:row>
      <xdr:rowOff>771526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09815" y="636"/>
          <a:ext cx="732155" cy="7708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1858734</xdr:colOff>
      <xdr:row>0</xdr:row>
      <xdr:rowOff>86549</xdr:rowOff>
    </xdr:from>
    <xdr:to>
      <xdr:col>9</xdr:col>
      <xdr:colOff>304800</xdr:colOff>
      <xdr:row>4</xdr:row>
      <xdr:rowOff>171451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83459" y="86549"/>
          <a:ext cx="855891" cy="8850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/Desktop/ONGs%20nos%20Distritos%20da%20Provincia%20CDELGADO/ONG's%20%20Quissanga%202025.xlsx" TargetMode="External"/><Relationship Id="rId1" Type="http://schemas.openxmlformats.org/officeDocument/2006/relationships/externalLinkPath" Target="/Users/user/Desktop/ONGs%20nos%20Distritos%20da%20Provincia%20CDELGADO/ONG's%20%20Quissanga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1"/>
      <sheetName val="Plan2"/>
    </sheetNames>
    <sheetDataSet>
      <sheetData sheetId="0" refreshError="1"/>
      <sheetData sheetId="1">
        <row r="6">
          <cell r="D6" t="str">
            <v>Educação (SDEJT)</v>
          </cell>
        </row>
        <row r="7">
          <cell r="D7" t="str">
            <v>Saúde (SDSMAS)</v>
          </cell>
        </row>
        <row r="8">
          <cell r="D8" t="str">
            <v>Actividades económicas (SDAE)</v>
          </cell>
        </row>
        <row r="9">
          <cell r="D9" t="str">
            <v>Infra-estrutura (SDPI)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workbookViewId="0">
      <selection activeCell="A11" sqref="A11:O11"/>
    </sheetView>
  </sheetViews>
  <sheetFormatPr defaultRowHeight="15.75" x14ac:dyDescent="0.25"/>
  <cols>
    <col min="1" max="1" width="5.42578125" style="38" customWidth="1"/>
    <col min="2" max="2" width="39.85546875" style="11" customWidth="1"/>
    <col min="3" max="3" width="9.85546875" style="11" customWidth="1"/>
    <col min="4" max="4" width="8.42578125" style="11" customWidth="1"/>
    <col min="5" max="5" width="12.85546875" style="11" customWidth="1"/>
    <col min="6" max="6" width="14.28515625" style="11" customWidth="1"/>
    <col min="7" max="7" width="19.140625" style="11" customWidth="1"/>
    <col min="8" max="8" width="36.140625" style="11" customWidth="1"/>
    <col min="9" max="10" width="20" style="11" customWidth="1"/>
    <col min="11" max="11" width="18.85546875" style="11" customWidth="1"/>
    <col min="12" max="12" width="20.85546875" style="39" customWidth="1"/>
    <col min="13" max="13" width="20" style="11" customWidth="1"/>
    <col min="14" max="14" width="16.7109375" style="11" customWidth="1"/>
    <col min="15" max="15" width="27" style="40" customWidth="1"/>
    <col min="16" max="16384" width="9.140625" style="11"/>
  </cols>
  <sheetData>
    <row r="1" spans="1:15" s="10" customFormat="1" x14ac:dyDescent="0.25">
      <c r="A1" s="309"/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</row>
    <row r="2" spans="1:15" s="10" customFormat="1" x14ac:dyDescent="0.25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</row>
    <row r="3" spans="1:15" s="10" customFormat="1" x14ac:dyDescent="0.25">
      <c r="A3" s="309"/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</row>
    <row r="4" spans="1:15" s="10" customFormat="1" x14ac:dyDescent="0.25">
      <c r="A4" s="309"/>
      <c r="B4" s="30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</row>
    <row r="5" spans="1:15" s="10" customFormat="1" x14ac:dyDescent="0.25">
      <c r="A5" s="309"/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</row>
    <row r="6" spans="1:15" s="10" customFormat="1" x14ac:dyDescent="0.25">
      <c r="A6" s="310" t="s">
        <v>0</v>
      </c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</row>
    <row r="7" spans="1:15" s="10" customFormat="1" x14ac:dyDescent="0.25">
      <c r="A7" s="308" t="s">
        <v>81</v>
      </c>
      <c r="B7" s="308"/>
      <c r="C7" s="308"/>
      <c r="D7" s="308"/>
      <c r="E7" s="308"/>
      <c r="F7" s="308"/>
      <c r="G7" s="308"/>
      <c r="H7" s="308"/>
      <c r="I7" s="308"/>
      <c r="J7" s="308"/>
      <c r="K7" s="308"/>
      <c r="L7" s="308"/>
      <c r="M7" s="308"/>
      <c r="N7" s="308"/>
      <c r="O7" s="308"/>
    </row>
    <row r="8" spans="1:15" s="10" customFormat="1" x14ac:dyDescent="0.25">
      <c r="A8" s="308" t="s">
        <v>82</v>
      </c>
      <c r="B8" s="308"/>
      <c r="C8" s="308"/>
      <c r="D8" s="308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</row>
    <row r="9" spans="1:15" s="10" customFormat="1" x14ac:dyDescent="0.25">
      <c r="A9" s="308"/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</row>
    <row r="10" spans="1:15" s="10" customFormat="1" x14ac:dyDescent="0.25">
      <c r="A10" s="308"/>
      <c r="B10" s="308"/>
      <c r="C10" s="308"/>
      <c r="D10" s="308"/>
      <c r="E10" s="308"/>
      <c r="F10" s="308"/>
      <c r="G10" s="308"/>
      <c r="H10" s="308"/>
      <c r="I10" s="308"/>
      <c r="J10" s="308"/>
      <c r="K10" s="308"/>
      <c r="L10" s="308"/>
      <c r="M10" s="308"/>
      <c r="N10" s="308"/>
      <c r="O10" s="308"/>
    </row>
    <row r="11" spans="1:15" ht="15.75" customHeight="1" x14ac:dyDescent="0.25">
      <c r="A11" s="311"/>
      <c r="B11" s="311"/>
      <c r="C11" s="311"/>
      <c r="D11" s="311"/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</row>
    <row r="12" spans="1:15" x14ac:dyDescent="0.25">
      <c r="A12" s="312" t="s">
        <v>214</v>
      </c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2"/>
      <c r="N12" s="312"/>
      <c r="O12" s="312"/>
    </row>
    <row r="13" spans="1:15" ht="16.5" thickBot="1" x14ac:dyDescent="0.3">
      <c r="A13" s="313" t="s">
        <v>1</v>
      </c>
      <c r="B13" s="313"/>
      <c r="C13" s="313"/>
      <c r="D13" s="313"/>
      <c r="E13" s="313"/>
      <c r="F13" s="313"/>
      <c r="G13" s="313"/>
      <c r="H13" s="313"/>
      <c r="I13" s="313"/>
      <c r="J13" s="313"/>
      <c r="K13" s="313"/>
      <c r="L13" s="313"/>
      <c r="M13" s="313"/>
      <c r="N13" s="313"/>
      <c r="O13" s="313"/>
    </row>
    <row r="14" spans="1:15" s="12" customFormat="1" ht="16.5" thickBot="1" x14ac:dyDescent="0.3">
      <c r="A14" s="314" t="s">
        <v>2</v>
      </c>
      <c r="B14" s="316" t="s">
        <v>3</v>
      </c>
      <c r="C14" s="318" t="s">
        <v>4</v>
      </c>
      <c r="D14" s="319"/>
      <c r="E14" s="320"/>
      <c r="F14" s="321" t="s">
        <v>5</v>
      </c>
      <c r="G14" s="322"/>
      <c r="H14" s="323" t="s">
        <v>6</v>
      </c>
      <c r="I14" s="323" t="s">
        <v>7</v>
      </c>
      <c r="J14" s="323" t="s">
        <v>8</v>
      </c>
      <c r="K14" s="316" t="s">
        <v>9</v>
      </c>
      <c r="L14" s="323" t="s">
        <v>10</v>
      </c>
      <c r="M14" s="323" t="s">
        <v>11</v>
      </c>
      <c r="N14" s="321" t="s">
        <v>12</v>
      </c>
      <c r="O14" s="328"/>
    </row>
    <row r="15" spans="1:15" s="12" customFormat="1" ht="16.5" thickBot="1" x14ac:dyDescent="0.3">
      <c r="A15" s="315"/>
      <c r="B15" s="317"/>
      <c r="C15" s="46" t="s">
        <v>13</v>
      </c>
      <c r="D15" s="45" t="s">
        <v>14</v>
      </c>
      <c r="E15" s="45" t="s">
        <v>15</v>
      </c>
      <c r="F15" s="64" t="s">
        <v>16</v>
      </c>
      <c r="G15" s="63" t="s">
        <v>17</v>
      </c>
      <c r="H15" s="327"/>
      <c r="I15" s="327"/>
      <c r="J15" s="327"/>
      <c r="K15" s="326"/>
      <c r="L15" s="327"/>
      <c r="M15" s="327"/>
      <c r="N15" s="48" t="s">
        <v>18</v>
      </c>
      <c r="O15" s="45" t="s">
        <v>19</v>
      </c>
    </row>
    <row r="16" spans="1:15" ht="78.75" x14ac:dyDescent="0.25">
      <c r="A16" s="1">
        <v>1</v>
      </c>
      <c r="B16" s="47" t="s">
        <v>21</v>
      </c>
      <c r="C16" s="2">
        <v>1</v>
      </c>
      <c r="D16" s="2"/>
      <c r="E16" s="2"/>
      <c r="F16" s="2"/>
      <c r="G16" s="2">
        <v>1</v>
      </c>
      <c r="H16" s="44" t="s">
        <v>22</v>
      </c>
      <c r="I16" s="3"/>
      <c r="J16" s="3"/>
      <c r="K16" s="14" t="s">
        <v>69</v>
      </c>
      <c r="L16" s="44" t="s">
        <v>29</v>
      </c>
      <c r="M16" s="14" t="s">
        <v>23</v>
      </c>
      <c r="N16" s="15">
        <v>864206906</v>
      </c>
      <c r="O16" s="16"/>
    </row>
    <row r="17" spans="1:15" s="12" customFormat="1" ht="94.5" x14ac:dyDescent="0.25">
      <c r="A17" s="4">
        <v>2</v>
      </c>
      <c r="B17" s="17" t="s">
        <v>26</v>
      </c>
      <c r="C17" s="5">
        <v>1</v>
      </c>
      <c r="D17" s="5"/>
      <c r="E17" s="5"/>
      <c r="F17" s="5"/>
      <c r="G17" s="5"/>
      <c r="H17" s="43" t="s">
        <v>28</v>
      </c>
      <c r="I17" s="6"/>
      <c r="J17" s="18"/>
      <c r="K17" s="17" t="s">
        <v>69</v>
      </c>
      <c r="L17" s="41" t="s">
        <v>27</v>
      </c>
      <c r="M17" s="17" t="s">
        <v>36</v>
      </c>
      <c r="N17" s="19">
        <v>861049891</v>
      </c>
      <c r="O17" s="20"/>
    </row>
    <row r="18" spans="1:15" ht="94.5" x14ac:dyDescent="0.25">
      <c r="A18" s="4">
        <v>3</v>
      </c>
      <c r="B18" s="13" t="s">
        <v>30</v>
      </c>
      <c r="C18" s="5">
        <v>1</v>
      </c>
      <c r="D18" s="5"/>
      <c r="E18" s="5"/>
      <c r="F18" s="5"/>
      <c r="G18" s="5">
        <v>1</v>
      </c>
      <c r="H18" s="43" t="s">
        <v>31</v>
      </c>
      <c r="I18" s="7"/>
      <c r="J18" s="7"/>
      <c r="K18" s="17" t="s">
        <v>69</v>
      </c>
      <c r="L18" s="13" t="s">
        <v>32</v>
      </c>
      <c r="M18" s="17" t="s">
        <v>33</v>
      </c>
      <c r="N18" s="19">
        <v>87392860</v>
      </c>
      <c r="O18" s="20"/>
    </row>
    <row r="19" spans="1:15" ht="79.5" thickBot="1" x14ac:dyDescent="0.3">
      <c r="A19" s="4">
        <v>4</v>
      </c>
      <c r="B19" s="17" t="s">
        <v>34</v>
      </c>
      <c r="C19" s="5">
        <v>1</v>
      </c>
      <c r="D19" s="5"/>
      <c r="E19" s="5"/>
      <c r="F19" s="5"/>
      <c r="G19" s="5">
        <v>1</v>
      </c>
      <c r="H19" s="49" t="s">
        <v>35</v>
      </c>
      <c r="I19" s="7"/>
      <c r="J19" s="7"/>
      <c r="K19" s="17" t="s">
        <v>69</v>
      </c>
      <c r="L19" s="13" t="s">
        <v>32</v>
      </c>
      <c r="M19" s="17" t="s">
        <v>37</v>
      </c>
      <c r="N19" s="19">
        <v>847760479</v>
      </c>
      <c r="O19" s="22"/>
    </row>
    <row r="20" spans="1:15" ht="94.5" x14ac:dyDescent="0.25">
      <c r="A20" s="1">
        <v>5</v>
      </c>
      <c r="B20" s="17" t="s">
        <v>38</v>
      </c>
      <c r="C20" s="5">
        <v>1</v>
      </c>
      <c r="D20" s="5"/>
      <c r="E20" s="5"/>
      <c r="F20" s="5">
        <v>1</v>
      </c>
      <c r="G20" s="5"/>
      <c r="H20" s="50" t="s">
        <v>39</v>
      </c>
      <c r="I20" s="7"/>
      <c r="J20" s="7"/>
      <c r="K20" s="17" t="s">
        <v>69</v>
      </c>
      <c r="L20" s="51" t="s">
        <v>40</v>
      </c>
      <c r="M20" s="31" t="s">
        <v>41</v>
      </c>
      <c r="N20" s="19">
        <v>869408552</v>
      </c>
      <c r="O20" s="22"/>
    </row>
    <row r="21" spans="1:15" ht="110.25" x14ac:dyDescent="0.25">
      <c r="A21" s="4">
        <v>6</v>
      </c>
      <c r="B21" s="17" t="s">
        <v>42</v>
      </c>
      <c r="C21" s="5">
        <v>1</v>
      </c>
      <c r="D21" s="5"/>
      <c r="E21" s="5"/>
      <c r="F21" s="5"/>
      <c r="G21" s="5">
        <v>1</v>
      </c>
      <c r="H21" s="42" t="s">
        <v>43</v>
      </c>
      <c r="I21" s="7"/>
      <c r="J21" s="7"/>
      <c r="K21" s="17" t="s">
        <v>69</v>
      </c>
      <c r="L21" s="18" t="s">
        <v>32</v>
      </c>
      <c r="M21" s="17" t="s">
        <v>44</v>
      </c>
      <c r="N21" s="19">
        <v>845649049</v>
      </c>
      <c r="O21" s="22"/>
    </row>
    <row r="22" spans="1:15" ht="173.25" x14ac:dyDescent="0.25">
      <c r="A22" s="4">
        <v>7</v>
      </c>
      <c r="B22" s="17" t="s">
        <v>45</v>
      </c>
      <c r="C22" s="5">
        <v>1</v>
      </c>
      <c r="D22" s="5"/>
      <c r="E22" s="5"/>
      <c r="F22" s="5"/>
      <c r="G22" s="5">
        <v>1</v>
      </c>
      <c r="H22" s="53" t="s">
        <v>47</v>
      </c>
      <c r="I22" s="7"/>
      <c r="J22" s="7"/>
      <c r="K22" s="17" t="s">
        <v>69</v>
      </c>
      <c r="L22" s="18" t="s">
        <v>32</v>
      </c>
      <c r="M22" s="17" t="s">
        <v>46</v>
      </c>
      <c r="N22" s="19">
        <v>858948069</v>
      </c>
      <c r="O22" s="22"/>
    </row>
    <row r="23" spans="1:15" ht="126.75" thickBot="1" x14ac:dyDescent="0.3">
      <c r="A23" s="4">
        <v>8</v>
      </c>
      <c r="B23" s="17" t="s">
        <v>48</v>
      </c>
      <c r="C23" s="5">
        <v>1</v>
      </c>
      <c r="D23" s="5"/>
      <c r="E23" s="5"/>
      <c r="F23" s="5"/>
      <c r="G23" s="5">
        <v>1</v>
      </c>
      <c r="H23" s="54" t="s">
        <v>52</v>
      </c>
      <c r="I23" s="7"/>
      <c r="J23" s="7"/>
      <c r="K23" s="17" t="s">
        <v>69</v>
      </c>
      <c r="L23" s="18" t="s">
        <v>49</v>
      </c>
      <c r="M23" s="23" t="s">
        <v>50</v>
      </c>
      <c r="N23" s="19" t="s">
        <v>51</v>
      </c>
      <c r="O23" s="20"/>
    </row>
    <row r="24" spans="1:15" ht="78.75" x14ac:dyDescent="0.25">
      <c r="A24" s="1">
        <v>9</v>
      </c>
      <c r="B24" s="17" t="s">
        <v>53</v>
      </c>
      <c r="C24" s="5"/>
      <c r="D24" s="5"/>
      <c r="E24" s="5">
        <v>1</v>
      </c>
      <c r="F24" s="5">
        <v>1</v>
      </c>
      <c r="G24" s="5"/>
      <c r="H24" s="41" t="s">
        <v>54</v>
      </c>
      <c r="I24" s="7"/>
      <c r="J24" s="7"/>
      <c r="K24" s="17" t="s">
        <v>69</v>
      </c>
      <c r="L24" s="32" t="s">
        <v>32</v>
      </c>
      <c r="M24" s="17" t="s">
        <v>55</v>
      </c>
      <c r="N24" s="19">
        <v>873920842</v>
      </c>
      <c r="O24" s="24"/>
    </row>
    <row r="25" spans="1:15" ht="78.75" x14ac:dyDescent="0.25">
      <c r="A25" s="4">
        <v>10</v>
      </c>
      <c r="B25" s="17" t="s">
        <v>56</v>
      </c>
      <c r="C25" s="5">
        <v>1</v>
      </c>
      <c r="D25" s="5"/>
      <c r="E25" s="5"/>
      <c r="F25" s="5">
        <v>1</v>
      </c>
      <c r="G25" s="5"/>
      <c r="H25" s="55" t="s">
        <v>57</v>
      </c>
      <c r="I25" s="7"/>
      <c r="J25" s="7"/>
      <c r="K25" s="17" t="s">
        <v>69</v>
      </c>
      <c r="L25" s="18" t="s">
        <v>58</v>
      </c>
      <c r="M25" s="17" t="s">
        <v>59</v>
      </c>
      <c r="N25" s="19"/>
      <c r="O25" s="25"/>
    </row>
    <row r="26" spans="1:15" ht="78.75" x14ac:dyDescent="0.25">
      <c r="A26" s="4">
        <v>11</v>
      </c>
      <c r="B26" s="17" t="s">
        <v>60</v>
      </c>
      <c r="C26" s="5">
        <v>1</v>
      </c>
      <c r="D26" s="5"/>
      <c r="E26" s="5"/>
      <c r="F26" s="5">
        <v>1</v>
      </c>
      <c r="G26" s="5"/>
      <c r="H26" s="21" t="s">
        <v>57</v>
      </c>
      <c r="I26" s="7"/>
      <c r="J26" s="7"/>
      <c r="K26" s="17" t="s">
        <v>69</v>
      </c>
      <c r="L26" s="18" t="s">
        <v>58</v>
      </c>
      <c r="M26" s="17" t="s">
        <v>59</v>
      </c>
      <c r="N26" s="19"/>
      <c r="O26" s="26"/>
    </row>
    <row r="27" spans="1:15" s="12" customFormat="1" ht="79.5" thickBot="1" x14ac:dyDescent="0.3">
      <c r="A27" s="4">
        <v>12</v>
      </c>
      <c r="B27" s="17" t="s">
        <v>61</v>
      </c>
      <c r="C27" s="5">
        <v>1</v>
      </c>
      <c r="D27" s="5"/>
      <c r="E27" s="5"/>
      <c r="F27" s="5"/>
      <c r="G27" s="5">
        <v>1</v>
      </c>
      <c r="H27" s="17" t="s">
        <v>62</v>
      </c>
      <c r="I27" s="6"/>
      <c r="J27" s="6"/>
      <c r="K27" s="17" t="s">
        <v>69</v>
      </c>
      <c r="L27" s="18" t="s">
        <v>58</v>
      </c>
      <c r="M27" s="23" t="s">
        <v>63</v>
      </c>
      <c r="N27" s="27">
        <v>872214941</v>
      </c>
      <c r="O27" s="28"/>
    </row>
    <row r="28" spans="1:15" s="12" customFormat="1" ht="78.75" x14ac:dyDescent="0.25">
      <c r="A28" s="1">
        <v>13</v>
      </c>
      <c r="B28" s="17" t="s">
        <v>64</v>
      </c>
      <c r="C28" s="5">
        <v>1</v>
      </c>
      <c r="D28" s="5"/>
      <c r="E28" s="5"/>
      <c r="F28" s="5"/>
      <c r="G28" s="5">
        <v>1</v>
      </c>
      <c r="H28" s="17" t="s">
        <v>65</v>
      </c>
      <c r="I28" s="6"/>
      <c r="J28" s="6"/>
      <c r="K28" s="17" t="s">
        <v>69</v>
      </c>
      <c r="L28" s="18" t="s">
        <v>58</v>
      </c>
      <c r="M28" s="17" t="s">
        <v>66</v>
      </c>
      <c r="N28" s="19">
        <v>874403724</v>
      </c>
      <c r="O28" s="24"/>
    </row>
    <row r="29" spans="1:15" ht="78.75" x14ac:dyDescent="0.25">
      <c r="A29" s="4">
        <v>14</v>
      </c>
      <c r="B29" s="17" t="s">
        <v>67</v>
      </c>
      <c r="C29" s="5">
        <v>1</v>
      </c>
      <c r="D29" s="5"/>
      <c r="E29" s="5"/>
      <c r="F29" s="5">
        <v>1</v>
      </c>
      <c r="G29" s="5"/>
      <c r="H29" s="17" t="s">
        <v>68</v>
      </c>
      <c r="I29" s="7"/>
      <c r="J29" s="7"/>
      <c r="K29" s="17" t="s">
        <v>69</v>
      </c>
      <c r="L29" s="18" t="s">
        <v>58</v>
      </c>
      <c r="M29" s="17" t="s">
        <v>70</v>
      </c>
      <c r="N29" s="19">
        <v>860403007</v>
      </c>
      <c r="O29" s="24"/>
    </row>
    <row r="30" spans="1:15" ht="94.5" x14ac:dyDescent="0.25">
      <c r="A30" s="4">
        <v>15</v>
      </c>
      <c r="B30" s="56" t="s">
        <v>71</v>
      </c>
      <c r="C30" s="5">
        <v>1</v>
      </c>
      <c r="D30" s="5"/>
      <c r="E30" s="5"/>
      <c r="F30" s="5"/>
      <c r="G30" s="5">
        <v>1</v>
      </c>
      <c r="H30" s="21" t="s">
        <v>74</v>
      </c>
      <c r="I30" s="7"/>
      <c r="J30" s="7"/>
      <c r="K30" s="17" t="s">
        <v>69</v>
      </c>
      <c r="L30" s="18" t="s">
        <v>75</v>
      </c>
      <c r="M30" s="17" t="s">
        <v>76</v>
      </c>
      <c r="N30" s="19">
        <v>869021693</v>
      </c>
      <c r="O30" s="24"/>
    </row>
    <row r="31" spans="1:15" ht="79.5" thickBot="1" x14ac:dyDescent="0.3">
      <c r="A31" s="4">
        <v>16</v>
      </c>
      <c r="B31" s="57" t="s">
        <v>72</v>
      </c>
      <c r="C31" s="5">
        <v>1</v>
      </c>
      <c r="D31" s="5"/>
      <c r="E31" s="5"/>
      <c r="F31" s="5">
        <v>1</v>
      </c>
      <c r="G31" s="5"/>
      <c r="H31" s="21" t="s">
        <v>77</v>
      </c>
      <c r="I31" s="7"/>
      <c r="J31" s="7"/>
      <c r="K31" s="17" t="s">
        <v>69</v>
      </c>
      <c r="L31" s="18" t="s">
        <v>58</v>
      </c>
      <c r="M31" s="17" t="s">
        <v>59</v>
      </c>
      <c r="N31" s="19"/>
      <c r="O31" s="24"/>
    </row>
    <row r="32" spans="1:15" s="12" customFormat="1" ht="63" x14ac:dyDescent="0.25">
      <c r="A32" s="1">
        <v>17</v>
      </c>
      <c r="B32" s="58" t="s">
        <v>73</v>
      </c>
      <c r="C32" s="5">
        <v>1</v>
      </c>
      <c r="D32" s="5"/>
      <c r="E32" s="5"/>
      <c r="F32" s="5">
        <v>1</v>
      </c>
      <c r="G32" s="5"/>
      <c r="H32" s="17" t="s">
        <v>78</v>
      </c>
      <c r="I32" s="6"/>
      <c r="J32" s="6"/>
      <c r="K32" s="62" t="s">
        <v>69</v>
      </c>
      <c r="L32" s="18" t="s">
        <v>79</v>
      </c>
      <c r="M32" s="17" t="s">
        <v>80</v>
      </c>
      <c r="N32" s="19">
        <v>874704905</v>
      </c>
      <c r="O32" s="24"/>
    </row>
    <row r="33" spans="1:15" s="12" customFormat="1" ht="16.5" thickBot="1" x14ac:dyDescent="0.3">
      <c r="A33" s="59">
        <v>18</v>
      </c>
      <c r="B33" s="60"/>
      <c r="C33" s="61">
        <f>SUM(C16:C32)</f>
        <v>16</v>
      </c>
      <c r="D33" s="61">
        <f>SUM(D16:D32)</f>
        <v>0</v>
      </c>
      <c r="E33" s="61">
        <f>SUM(E16:E32)</f>
        <v>1</v>
      </c>
      <c r="F33" s="61">
        <f>SUM(F16:F32)</f>
        <v>7</v>
      </c>
      <c r="G33" s="61">
        <f>SUM(G16:G32)</f>
        <v>9</v>
      </c>
      <c r="H33" s="17"/>
      <c r="I33" s="18"/>
      <c r="J33" s="18"/>
      <c r="K33" s="17"/>
      <c r="L33" s="18"/>
      <c r="M33" s="17"/>
      <c r="N33" s="19"/>
      <c r="O33" s="29"/>
    </row>
    <row r="34" spans="1:15" s="12" customFormat="1" x14ac:dyDescent="0.25">
      <c r="A34" s="329" t="s">
        <v>20</v>
      </c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</row>
    <row r="35" spans="1:15" x14ac:dyDescent="0.25">
      <c r="A35" s="325" t="s">
        <v>24</v>
      </c>
      <c r="B35" s="325"/>
      <c r="C35" s="325"/>
      <c r="D35" s="325"/>
      <c r="E35" s="325"/>
      <c r="F35" s="325"/>
      <c r="G35" s="325"/>
      <c r="H35" s="325"/>
      <c r="I35" s="325"/>
      <c r="J35" s="325"/>
      <c r="K35" s="325"/>
      <c r="L35" s="325"/>
      <c r="M35" s="325"/>
      <c r="N35" s="325"/>
      <c r="O35" s="325"/>
    </row>
    <row r="36" spans="1:15" x14ac:dyDescent="0.25">
      <c r="A36" s="325" t="s">
        <v>25</v>
      </c>
      <c r="B36" s="325"/>
      <c r="C36" s="325"/>
      <c r="D36" s="325"/>
      <c r="E36" s="325"/>
      <c r="F36" s="325"/>
      <c r="G36" s="325"/>
      <c r="H36" s="325"/>
      <c r="I36" s="325"/>
      <c r="J36" s="325"/>
      <c r="K36" s="325"/>
      <c r="L36" s="325"/>
      <c r="M36" s="325"/>
      <c r="N36" s="325"/>
      <c r="O36" s="325"/>
    </row>
    <row r="42" spans="1:15" s="12" customFormat="1" x14ac:dyDescent="0.25">
      <c r="A42" s="38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39"/>
      <c r="M42" s="11"/>
      <c r="N42" s="11"/>
      <c r="O42" s="40"/>
    </row>
    <row r="45" spans="1:15" x14ac:dyDescent="0.25">
      <c r="E45" s="271"/>
    </row>
    <row r="48" spans="1:15" x14ac:dyDescent="0.25">
      <c r="J48" s="271"/>
    </row>
  </sheetData>
  <mergeCells count="23">
    <mergeCell ref="A36:O36"/>
    <mergeCell ref="K14:K15"/>
    <mergeCell ref="L14:L15"/>
    <mergeCell ref="M14:M15"/>
    <mergeCell ref="N14:O14"/>
    <mergeCell ref="A34:O34"/>
    <mergeCell ref="A35:O35"/>
    <mergeCell ref="A11:O11"/>
    <mergeCell ref="A12:O12"/>
    <mergeCell ref="A13:O13"/>
    <mergeCell ref="A14:A15"/>
    <mergeCell ref="B14:B15"/>
    <mergeCell ref="C14:E14"/>
    <mergeCell ref="F14:G14"/>
    <mergeCell ref="H14:H15"/>
    <mergeCell ref="I14:I15"/>
    <mergeCell ref="J14:J15"/>
    <mergeCell ref="A10:O10"/>
    <mergeCell ref="A1:O5"/>
    <mergeCell ref="A6:O6"/>
    <mergeCell ref="A7:O7"/>
    <mergeCell ref="A8:O8"/>
    <mergeCell ref="A9:O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8"/>
  <sheetViews>
    <sheetView topLeftCell="A39" workbookViewId="0">
      <selection activeCell="B16" sqref="B16:B44"/>
    </sheetView>
  </sheetViews>
  <sheetFormatPr defaultRowHeight="15.75" x14ac:dyDescent="0.25"/>
  <cols>
    <col min="1" max="1" width="5.42578125" style="38" customWidth="1"/>
    <col min="2" max="2" width="39.85546875" style="11" customWidth="1"/>
    <col min="3" max="3" width="9.85546875" style="11" customWidth="1"/>
    <col min="4" max="4" width="8.42578125" style="11" customWidth="1"/>
    <col min="5" max="5" width="12.85546875" style="11" customWidth="1"/>
    <col min="6" max="6" width="14.28515625" style="11" customWidth="1"/>
    <col min="7" max="7" width="19.140625" style="11" customWidth="1"/>
    <col min="8" max="8" width="36.140625" style="11" customWidth="1"/>
    <col min="9" max="10" width="20" style="11" customWidth="1"/>
    <col min="11" max="11" width="18.85546875" style="11" customWidth="1"/>
    <col min="12" max="12" width="20.85546875" style="39" customWidth="1"/>
    <col min="13" max="13" width="20" style="11" customWidth="1"/>
    <col min="14" max="14" width="16.7109375" style="11" customWidth="1"/>
    <col min="15" max="15" width="27" style="40" customWidth="1"/>
    <col min="16" max="16384" width="9.140625" style="11"/>
  </cols>
  <sheetData>
    <row r="1" spans="1:15" s="10" customFormat="1" x14ac:dyDescent="0.25">
      <c r="A1" s="309"/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</row>
    <row r="2" spans="1:15" s="10" customFormat="1" x14ac:dyDescent="0.25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</row>
    <row r="3" spans="1:15" s="10" customFormat="1" x14ac:dyDescent="0.25">
      <c r="A3" s="309"/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</row>
    <row r="4" spans="1:15" s="10" customFormat="1" x14ac:dyDescent="0.25">
      <c r="A4" s="309"/>
      <c r="B4" s="30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</row>
    <row r="5" spans="1:15" s="10" customFormat="1" x14ac:dyDescent="0.25">
      <c r="A5" s="309"/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</row>
    <row r="6" spans="1:15" s="10" customFormat="1" x14ac:dyDescent="0.25">
      <c r="A6" s="310" t="s">
        <v>0</v>
      </c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</row>
    <row r="7" spans="1:15" s="10" customFormat="1" x14ac:dyDescent="0.25">
      <c r="A7" s="308" t="s">
        <v>81</v>
      </c>
      <c r="B7" s="308"/>
      <c r="C7" s="308"/>
      <c r="D7" s="308"/>
      <c r="E7" s="308"/>
      <c r="F7" s="308"/>
      <c r="G7" s="308"/>
      <c r="H7" s="308"/>
      <c r="I7" s="308"/>
      <c r="J7" s="308"/>
      <c r="K7" s="308"/>
      <c r="L7" s="308"/>
      <c r="M7" s="308"/>
      <c r="N7" s="308"/>
      <c r="O7" s="308"/>
    </row>
    <row r="8" spans="1:15" s="10" customFormat="1" x14ac:dyDescent="0.25">
      <c r="A8" s="308" t="s">
        <v>82</v>
      </c>
      <c r="B8" s="308"/>
      <c r="C8" s="308"/>
      <c r="D8" s="308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</row>
    <row r="9" spans="1:15" s="10" customFormat="1" x14ac:dyDescent="0.25">
      <c r="A9" s="308"/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</row>
    <row r="10" spans="1:15" s="10" customFormat="1" x14ac:dyDescent="0.25">
      <c r="A10" s="308"/>
      <c r="B10" s="308"/>
      <c r="C10" s="308"/>
      <c r="D10" s="308"/>
      <c r="E10" s="308"/>
      <c r="F10" s="308"/>
      <c r="G10" s="308"/>
      <c r="H10" s="308"/>
      <c r="I10" s="308"/>
      <c r="J10" s="308"/>
      <c r="K10" s="308"/>
      <c r="L10" s="308"/>
      <c r="M10" s="308"/>
      <c r="N10" s="308"/>
      <c r="O10" s="308"/>
    </row>
    <row r="11" spans="1:15" ht="15.75" customHeight="1" x14ac:dyDescent="0.25">
      <c r="A11" s="311"/>
      <c r="B11" s="311"/>
      <c r="C11" s="311"/>
      <c r="D11" s="311"/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</row>
    <row r="12" spans="1:15" x14ac:dyDescent="0.25">
      <c r="A12" s="312" t="s">
        <v>213</v>
      </c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2"/>
      <c r="N12" s="312"/>
      <c r="O12" s="312"/>
    </row>
    <row r="13" spans="1:15" ht="16.5" thickBot="1" x14ac:dyDescent="0.3">
      <c r="A13" s="313" t="s">
        <v>1</v>
      </c>
      <c r="B13" s="313"/>
      <c r="C13" s="313"/>
      <c r="D13" s="313"/>
      <c r="E13" s="313"/>
      <c r="F13" s="313"/>
      <c r="G13" s="313"/>
      <c r="H13" s="313"/>
      <c r="I13" s="313"/>
      <c r="J13" s="313"/>
      <c r="K13" s="313"/>
      <c r="L13" s="313"/>
      <c r="M13" s="313"/>
      <c r="N13" s="313"/>
      <c r="O13" s="313"/>
    </row>
    <row r="14" spans="1:15" s="12" customFormat="1" ht="16.5" thickBot="1" x14ac:dyDescent="0.3">
      <c r="A14" s="314" t="s">
        <v>2</v>
      </c>
      <c r="B14" s="316" t="s">
        <v>3</v>
      </c>
      <c r="C14" s="318" t="s">
        <v>4</v>
      </c>
      <c r="D14" s="319"/>
      <c r="E14" s="320"/>
      <c r="F14" s="321" t="s">
        <v>5</v>
      </c>
      <c r="G14" s="322"/>
      <c r="H14" s="323" t="s">
        <v>6</v>
      </c>
      <c r="I14" s="323" t="s">
        <v>7</v>
      </c>
      <c r="J14" s="323" t="s">
        <v>8</v>
      </c>
      <c r="K14" s="316" t="s">
        <v>9</v>
      </c>
      <c r="L14" s="323" t="s">
        <v>10</v>
      </c>
      <c r="M14" s="323" t="s">
        <v>11</v>
      </c>
      <c r="N14" s="321" t="s">
        <v>12</v>
      </c>
      <c r="O14" s="328"/>
    </row>
    <row r="15" spans="1:15" s="12" customFormat="1" ht="16.5" thickBot="1" x14ac:dyDescent="0.3">
      <c r="A15" s="315"/>
      <c r="B15" s="317"/>
      <c r="C15" s="46" t="s">
        <v>13</v>
      </c>
      <c r="D15" s="45" t="s">
        <v>14</v>
      </c>
      <c r="E15" s="45" t="s">
        <v>15</v>
      </c>
      <c r="F15" s="64" t="s">
        <v>16</v>
      </c>
      <c r="G15" s="63" t="s">
        <v>17</v>
      </c>
      <c r="H15" s="327"/>
      <c r="I15" s="327"/>
      <c r="J15" s="327"/>
      <c r="K15" s="326"/>
      <c r="L15" s="327"/>
      <c r="M15" s="327"/>
      <c r="N15" s="48" t="s">
        <v>18</v>
      </c>
      <c r="O15" s="45" t="s">
        <v>19</v>
      </c>
    </row>
    <row r="16" spans="1:15" ht="110.25" x14ac:dyDescent="0.25">
      <c r="A16" s="1">
        <v>1</v>
      </c>
      <c r="B16" s="75" t="s">
        <v>48</v>
      </c>
      <c r="C16" s="90">
        <v>1</v>
      </c>
      <c r="D16" s="2"/>
      <c r="E16" s="2"/>
      <c r="F16" s="2"/>
      <c r="G16" s="2">
        <v>1</v>
      </c>
      <c r="H16" s="41" t="s">
        <v>121</v>
      </c>
      <c r="I16" s="3"/>
      <c r="J16" s="3"/>
      <c r="K16" s="89" t="s">
        <v>133</v>
      </c>
      <c r="L16" s="44"/>
      <c r="M16" s="14"/>
      <c r="N16" s="15"/>
      <c r="O16" s="16"/>
    </row>
    <row r="17" spans="1:15" s="12" customFormat="1" ht="47.25" x14ac:dyDescent="0.25">
      <c r="A17" s="4">
        <v>2</v>
      </c>
      <c r="B17" s="76" t="s">
        <v>83</v>
      </c>
      <c r="C17" s="5">
        <v>1</v>
      </c>
      <c r="D17" s="5"/>
      <c r="E17" s="5"/>
      <c r="F17" s="5"/>
      <c r="G17" s="5">
        <v>1</v>
      </c>
      <c r="H17" s="41" t="s">
        <v>122</v>
      </c>
      <c r="I17" s="6"/>
      <c r="J17" s="83"/>
      <c r="K17" s="19" t="s">
        <v>133</v>
      </c>
      <c r="L17" s="84"/>
      <c r="M17" s="17"/>
      <c r="N17" s="19"/>
      <c r="O17" s="20"/>
    </row>
    <row r="18" spans="1:15" ht="31.5" x14ac:dyDescent="0.25">
      <c r="A18" s="4">
        <v>3</v>
      </c>
      <c r="B18" s="39" t="s">
        <v>84</v>
      </c>
      <c r="C18" s="5">
        <v>1</v>
      </c>
      <c r="D18" s="5"/>
      <c r="E18" s="5"/>
      <c r="F18" s="5">
        <v>1</v>
      </c>
      <c r="G18" s="5"/>
      <c r="H18" s="41" t="s">
        <v>123</v>
      </c>
      <c r="I18" s="7"/>
      <c r="J18" s="67"/>
      <c r="K18" s="19" t="s">
        <v>133</v>
      </c>
      <c r="L18" s="70"/>
      <c r="M18" s="17"/>
      <c r="N18" s="19"/>
      <c r="O18" s="20"/>
    </row>
    <row r="19" spans="1:15" ht="48" thickBot="1" x14ac:dyDescent="0.3">
      <c r="A19" s="4">
        <v>4</v>
      </c>
      <c r="B19" s="51" t="s">
        <v>85</v>
      </c>
      <c r="C19" s="5">
        <v>1</v>
      </c>
      <c r="D19" s="5"/>
      <c r="E19" s="5"/>
      <c r="F19" s="5"/>
      <c r="G19" s="5">
        <v>1</v>
      </c>
      <c r="H19" s="68" t="s">
        <v>124</v>
      </c>
      <c r="I19" s="7"/>
      <c r="J19" s="67"/>
      <c r="K19" s="19" t="s">
        <v>133</v>
      </c>
      <c r="L19" s="70"/>
      <c r="M19" s="17"/>
      <c r="N19" s="19"/>
      <c r="O19" s="22"/>
    </row>
    <row r="20" spans="1:15" x14ac:dyDescent="0.25">
      <c r="A20" s="1">
        <v>5</v>
      </c>
      <c r="B20" s="51" t="s">
        <v>38</v>
      </c>
      <c r="C20" s="5">
        <v>1</v>
      </c>
      <c r="D20" s="5"/>
      <c r="E20" s="5"/>
      <c r="F20" s="5">
        <v>1</v>
      </c>
      <c r="G20" s="5"/>
      <c r="H20" s="50" t="s">
        <v>596</v>
      </c>
      <c r="I20" s="7"/>
      <c r="J20" s="67"/>
      <c r="K20" s="19" t="s">
        <v>133</v>
      </c>
      <c r="L20" s="80"/>
      <c r="M20" s="31"/>
      <c r="N20" s="19"/>
      <c r="O20" s="22"/>
    </row>
    <row r="21" spans="1:15" ht="47.25" x14ac:dyDescent="0.25">
      <c r="A21" s="4">
        <v>6</v>
      </c>
      <c r="B21" s="77" t="s">
        <v>86</v>
      </c>
      <c r="C21" s="5">
        <v>1</v>
      </c>
      <c r="D21" s="5"/>
      <c r="E21" s="5"/>
      <c r="F21" s="5"/>
      <c r="G21" s="5">
        <v>1</v>
      </c>
      <c r="H21" s="73" t="s">
        <v>125</v>
      </c>
      <c r="I21" s="7"/>
      <c r="J21" s="67"/>
      <c r="K21" s="19" t="s">
        <v>133</v>
      </c>
      <c r="L21" s="85"/>
      <c r="M21" s="17"/>
      <c r="N21" s="19"/>
      <c r="O21" s="22"/>
    </row>
    <row r="22" spans="1:15" ht="47.25" x14ac:dyDescent="0.25">
      <c r="A22" s="4">
        <v>7</v>
      </c>
      <c r="B22" s="78" t="s">
        <v>87</v>
      </c>
      <c r="C22" s="5">
        <v>1</v>
      </c>
      <c r="D22" s="5"/>
      <c r="E22" s="5"/>
      <c r="F22" s="5"/>
      <c r="G22" s="5">
        <v>1</v>
      </c>
      <c r="H22" s="71" t="s">
        <v>126</v>
      </c>
      <c r="I22" s="7"/>
      <c r="J22" s="67"/>
      <c r="K22" s="19" t="s">
        <v>133</v>
      </c>
      <c r="L22" s="85"/>
      <c r="M22" s="17"/>
      <c r="N22" s="19"/>
      <c r="O22" s="22"/>
    </row>
    <row r="23" spans="1:15" ht="16.5" thickBot="1" x14ac:dyDescent="0.3">
      <c r="A23" s="4">
        <v>8</v>
      </c>
      <c r="B23" s="51" t="s">
        <v>88</v>
      </c>
      <c r="C23" s="5">
        <v>1</v>
      </c>
      <c r="D23" s="5"/>
      <c r="E23" s="5"/>
      <c r="F23" s="5"/>
      <c r="G23" s="5">
        <v>1</v>
      </c>
      <c r="H23" s="74" t="s">
        <v>127</v>
      </c>
      <c r="I23" s="7"/>
      <c r="J23" s="67"/>
      <c r="K23" s="19" t="s">
        <v>133</v>
      </c>
      <c r="L23" s="85"/>
      <c r="M23" s="23"/>
      <c r="N23" s="19"/>
      <c r="O23" s="20"/>
    </row>
    <row r="24" spans="1:15" x14ac:dyDescent="0.25">
      <c r="A24" s="1">
        <v>9</v>
      </c>
      <c r="B24" s="51" t="s">
        <v>89</v>
      </c>
      <c r="C24" s="5">
        <v>1</v>
      </c>
      <c r="D24" s="5"/>
      <c r="E24" s="5"/>
      <c r="F24" s="5"/>
      <c r="G24" s="5">
        <v>1</v>
      </c>
      <c r="H24" s="72" t="s">
        <v>106</v>
      </c>
      <c r="I24" s="7"/>
      <c r="J24" s="67"/>
      <c r="K24" s="19" t="s">
        <v>133</v>
      </c>
      <c r="L24" s="86"/>
      <c r="M24" s="17"/>
      <c r="N24" s="19"/>
      <c r="O24" s="24"/>
    </row>
    <row r="25" spans="1:15" x14ac:dyDescent="0.25">
      <c r="A25" s="4">
        <v>10</v>
      </c>
      <c r="B25" s="79" t="s">
        <v>45</v>
      </c>
      <c r="C25" s="5">
        <v>1</v>
      </c>
      <c r="D25" s="5"/>
      <c r="E25" s="5"/>
      <c r="F25" s="5"/>
      <c r="G25" s="5">
        <v>1</v>
      </c>
      <c r="H25" s="72" t="s">
        <v>106</v>
      </c>
      <c r="I25" s="7"/>
      <c r="J25" s="67"/>
      <c r="K25" s="19" t="s">
        <v>133</v>
      </c>
      <c r="L25" s="85"/>
      <c r="M25" s="17"/>
      <c r="N25" s="19"/>
      <c r="O25" s="25"/>
    </row>
    <row r="26" spans="1:15" ht="31.5" x14ac:dyDescent="0.25">
      <c r="A26" s="4">
        <v>11</v>
      </c>
      <c r="B26" s="51" t="s">
        <v>90</v>
      </c>
      <c r="C26" s="5">
        <v>1</v>
      </c>
      <c r="D26" s="5"/>
      <c r="E26" s="5"/>
      <c r="F26" s="5"/>
      <c r="G26" s="5">
        <v>1</v>
      </c>
      <c r="H26" s="52" t="s">
        <v>107</v>
      </c>
      <c r="I26" s="7"/>
      <c r="J26" s="67"/>
      <c r="K26" s="19" t="s">
        <v>133</v>
      </c>
      <c r="L26" s="85"/>
      <c r="M26" s="17"/>
      <c r="N26" s="19"/>
      <c r="O26" s="26"/>
    </row>
    <row r="27" spans="1:15" s="12" customFormat="1" ht="32.25" thickBot="1" x14ac:dyDescent="0.3">
      <c r="A27" s="4">
        <v>12</v>
      </c>
      <c r="B27" s="79" t="s">
        <v>91</v>
      </c>
      <c r="C27" s="5">
        <v>1</v>
      </c>
      <c r="D27" s="5"/>
      <c r="E27" s="5"/>
      <c r="F27" s="5">
        <v>1</v>
      </c>
      <c r="G27" s="5"/>
      <c r="H27" s="69" t="s">
        <v>108</v>
      </c>
      <c r="I27" s="6"/>
      <c r="J27" s="75"/>
      <c r="K27" s="19" t="s">
        <v>133</v>
      </c>
      <c r="L27" s="85"/>
      <c r="M27" s="23"/>
      <c r="N27" s="27"/>
      <c r="O27" s="28"/>
    </row>
    <row r="28" spans="1:15" s="12" customFormat="1" ht="47.25" x14ac:dyDescent="0.25">
      <c r="A28" s="1">
        <v>13</v>
      </c>
      <c r="B28" s="78" t="s">
        <v>92</v>
      </c>
      <c r="C28" s="5">
        <v>1</v>
      </c>
      <c r="D28" s="5"/>
      <c r="E28" s="5"/>
      <c r="F28" s="5"/>
      <c r="G28" s="5">
        <v>1</v>
      </c>
      <c r="H28" s="13" t="s">
        <v>109</v>
      </c>
      <c r="I28" s="6"/>
      <c r="J28" s="75"/>
      <c r="K28" s="19" t="s">
        <v>133</v>
      </c>
      <c r="L28" s="85"/>
      <c r="M28" s="17"/>
      <c r="N28" s="19"/>
      <c r="O28" s="24"/>
    </row>
    <row r="29" spans="1:15" ht="36.75" customHeight="1" x14ac:dyDescent="0.25">
      <c r="A29" s="4">
        <v>14</v>
      </c>
      <c r="B29" s="51" t="s">
        <v>93</v>
      </c>
      <c r="C29" s="5">
        <v>1</v>
      </c>
      <c r="D29" s="5"/>
      <c r="E29" s="5"/>
      <c r="F29" s="5"/>
      <c r="G29" s="5"/>
      <c r="H29" s="13" t="s">
        <v>110</v>
      </c>
      <c r="I29" s="7"/>
      <c r="J29" s="67"/>
      <c r="K29" s="19" t="s">
        <v>133</v>
      </c>
      <c r="L29" s="85"/>
      <c r="M29" s="17"/>
      <c r="N29" s="19"/>
      <c r="O29" s="24"/>
    </row>
    <row r="30" spans="1:15" x14ac:dyDescent="0.25">
      <c r="A30" s="126">
        <v>15</v>
      </c>
      <c r="B30" s="51" t="s">
        <v>34</v>
      </c>
      <c r="C30" s="5">
        <v>1</v>
      </c>
      <c r="D30" s="5"/>
      <c r="E30" s="5"/>
      <c r="F30" s="5"/>
      <c r="G30" s="5"/>
      <c r="H30" s="13" t="s">
        <v>111</v>
      </c>
      <c r="I30" s="7"/>
      <c r="J30" s="67"/>
      <c r="K30" s="19" t="s">
        <v>133</v>
      </c>
      <c r="L30" s="85"/>
      <c r="M30" s="17"/>
      <c r="N30" s="19"/>
      <c r="O30" s="24"/>
    </row>
    <row r="31" spans="1:15" ht="126" x14ac:dyDescent="0.25">
      <c r="A31" s="5">
        <v>16</v>
      </c>
      <c r="B31" s="78" t="s">
        <v>94</v>
      </c>
      <c r="C31" s="5">
        <v>1</v>
      </c>
      <c r="D31" s="5"/>
      <c r="E31" s="5"/>
      <c r="F31" s="5"/>
      <c r="G31" s="5">
        <v>1</v>
      </c>
      <c r="H31" s="41" t="s">
        <v>128</v>
      </c>
      <c r="I31" s="7"/>
      <c r="J31" s="67"/>
      <c r="K31" s="19" t="s">
        <v>133</v>
      </c>
      <c r="L31" s="85"/>
      <c r="M31" s="17"/>
      <c r="N31" s="19"/>
      <c r="O31" s="24"/>
    </row>
    <row r="32" spans="1:15" s="12" customFormat="1" x14ac:dyDescent="0.25">
      <c r="A32" s="5">
        <v>17</v>
      </c>
      <c r="B32" s="80" t="s">
        <v>95</v>
      </c>
      <c r="C32" s="5">
        <v>1</v>
      </c>
      <c r="D32" s="5"/>
      <c r="E32" s="5"/>
      <c r="F32" s="5"/>
      <c r="G32" s="5">
        <v>1</v>
      </c>
      <c r="H32" s="13" t="s">
        <v>112</v>
      </c>
      <c r="I32" s="6"/>
      <c r="J32" s="75"/>
      <c r="K32" s="19" t="s">
        <v>133</v>
      </c>
      <c r="L32" s="85"/>
      <c r="M32" s="17"/>
      <c r="N32" s="19"/>
      <c r="O32" s="24"/>
    </row>
    <row r="33" spans="1:15" s="12" customFormat="1" x14ac:dyDescent="0.25">
      <c r="A33" s="66">
        <v>18</v>
      </c>
      <c r="B33" s="272" t="s">
        <v>96</v>
      </c>
      <c r="C33" s="5">
        <v>1</v>
      </c>
      <c r="D33" s="66"/>
      <c r="E33" s="66"/>
      <c r="F33" s="66">
        <v>1</v>
      </c>
      <c r="G33" s="66"/>
      <c r="H33" s="72" t="s">
        <v>113</v>
      </c>
      <c r="I33" s="18"/>
      <c r="J33" s="83"/>
      <c r="K33" s="19" t="s">
        <v>133</v>
      </c>
      <c r="L33" s="85"/>
      <c r="M33" s="17"/>
      <c r="N33" s="19"/>
      <c r="O33" s="29"/>
    </row>
    <row r="34" spans="1:15" s="12" customFormat="1" x14ac:dyDescent="0.25">
      <c r="A34" s="5">
        <v>19</v>
      </c>
      <c r="B34" s="76" t="s">
        <v>97</v>
      </c>
      <c r="C34" s="5">
        <v>1</v>
      </c>
      <c r="D34" s="5"/>
      <c r="E34" s="5"/>
      <c r="F34" s="5">
        <v>1</v>
      </c>
      <c r="G34" s="5"/>
      <c r="H34" s="72" t="s">
        <v>114</v>
      </c>
      <c r="I34" s="6"/>
      <c r="J34" s="75"/>
      <c r="K34" s="19" t="s">
        <v>133</v>
      </c>
      <c r="L34" s="85"/>
      <c r="M34" s="17"/>
      <c r="N34" s="19"/>
      <c r="O34" s="24"/>
    </row>
    <row r="35" spans="1:15" x14ac:dyDescent="0.25">
      <c r="A35" s="5">
        <v>20</v>
      </c>
      <c r="B35" s="76" t="s">
        <v>64</v>
      </c>
      <c r="C35" s="5">
        <v>1</v>
      </c>
      <c r="D35" s="5"/>
      <c r="E35" s="5"/>
      <c r="F35" s="5"/>
      <c r="G35" s="5">
        <v>1</v>
      </c>
      <c r="H35" s="72" t="s">
        <v>115</v>
      </c>
      <c r="I35" s="7"/>
      <c r="J35" s="67"/>
      <c r="K35" s="19" t="s">
        <v>133</v>
      </c>
      <c r="L35" s="85"/>
      <c r="M35" s="17"/>
      <c r="N35" s="19"/>
      <c r="O35" s="24"/>
    </row>
    <row r="36" spans="1:15" ht="63" x14ac:dyDescent="0.25">
      <c r="A36" s="5">
        <v>21</v>
      </c>
      <c r="B36" s="76" t="s">
        <v>98</v>
      </c>
      <c r="C36" s="5">
        <v>1</v>
      </c>
      <c r="D36" s="5"/>
      <c r="E36" s="5"/>
      <c r="F36" s="5">
        <v>1</v>
      </c>
      <c r="G36" s="5"/>
      <c r="H36" s="71" t="s">
        <v>129</v>
      </c>
      <c r="I36" s="7"/>
      <c r="J36" s="67"/>
      <c r="K36" s="19" t="s">
        <v>133</v>
      </c>
      <c r="L36" s="85"/>
      <c r="M36" s="17"/>
      <c r="N36" s="19"/>
      <c r="O36" s="24"/>
    </row>
    <row r="37" spans="1:15" x14ac:dyDescent="0.25">
      <c r="A37" s="5">
        <v>22</v>
      </c>
      <c r="B37" s="76" t="s">
        <v>99</v>
      </c>
      <c r="C37" s="5">
        <v>1</v>
      </c>
      <c r="D37" s="5"/>
      <c r="E37" s="5"/>
      <c r="F37" s="5">
        <v>1</v>
      </c>
      <c r="G37" s="5"/>
      <c r="H37" s="72" t="s">
        <v>116</v>
      </c>
      <c r="I37" s="7"/>
      <c r="J37" s="67"/>
      <c r="K37" s="19" t="s">
        <v>133</v>
      </c>
      <c r="L37" s="85"/>
      <c r="M37" s="17"/>
      <c r="N37" s="19"/>
      <c r="O37" s="30"/>
    </row>
    <row r="38" spans="1:15" x14ac:dyDescent="0.25">
      <c r="A38" s="5">
        <v>23</v>
      </c>
      <c r="B38" s="76" t="s">
        <v>100</v>
      </c>
      <c r="C38" s="5">
        <v>1</v>
      </c>
      <c r="D38" s="5"/>
      <c r="E38" s="5"/>
      <c r="F38" s="5"/>
      <c r="G38" s="5">
        <v>1</v>
      </c>
      <c r="H38" s="72" t="s">
        <v>117</v>
      </c>
      <c r="I38" s="7"/>
      <c r="J38" s="67"/>
      <c r="K38" s="19" t="s">
        <v>133</v>
      </c>
      <c r="L38" s="87"/>
      <c r="M38" s="17"/>
      <c r="N38" s="19"/>
      <c r="O38" s="30"/>
    </row>
    <row r="39" spans="1:15" ht="78.75" x14ac:dyDescent="0.25">
      <c r="A39" s="5">
        <v>24</v>
      </c>
      <c r="B39" s="76" t="s">
        <v>101</v>
      </c>
      <c r="C39" s="5">
        <v>1</v>
      </c>
      <c r="D39" s="5"/>
      <c r="E39" s="5"/>
      <c r="F39" s="5"/>
      <c r="G39" s="5">
        <v>1</v>
      </c>
      <c r="H39" s="71" t="s">
        <v>130</v>
      </c>
      <c r="I39" s="32"/>
      <c r="J39" s="67"/>
      <c r="K39" s="19" t="s">
        <v>133</v>
      </c>
      <c r="L39" s="85"/>
      <c r="M39" s="17"/>
      <c r="N39" s="19"/>
      <c r="O39" s="30"/>
    </row>
    <row r="40" spans="1:15" ht="47.25" x14ac:dyDescent="0.25">
      <c r="A40" s="5">
        <v>25</v>
      </c>
      <c r="B40" s="85" t="s">
        <v>102</v>
      </c>
      <c r="C40" s="5">
        <v>1</v>
      </c>
      <c r="D40" s="5"/>
      <c r="E40" s="5"/>
      <c r="F40" s="5">
        <v>1</v>
      </c>
      <c r="G40" s="5"/>
      <c r="H40" s="71" t="s">
        <v>118</v>
      </c>
      <c r="I40" s="32"/>
      <c r="J40" s="67"/>
      <c r="K40" s="19" t="s">
        <v>133</v>
      </c>
      <c r="L40" s="85"/>
      <c r="M40" s="17"/>
      <c r="N40" s="19"/>
      <c r="O40" s="30"/>
    </row>
    <row r="41" spans="1:15" ht="47.25" x14ac:dyDescent="0.25">
      <c r="A41" s="5">
        <v>26</v>
      </c>
      <c r="B41" s="81" t="s">
        <v>103</v>
      </c>
      <c r="C41" s="5">
        <v>1</v>
      </c>
      <c r="D41" s="5"/>
      <c r="E41" s="5"/>
      <c r="F41" s="5"/>
      <c r="G41" s="5">
        <v>1</v>
      </c>
      <c r="H41" s="71" t="s">
        <v>119</v>
      </c>
      <c r="I41" s="32"/>
      <c r="J41" s="67"/>
      <c r="K41" s="19" t="s">
        <v>133</v>
      </c>
      <c r="L41" s="85"/>
      <c r="M41" s="17"/>
      <c r="N41" s="19"/>
      <c r="O41" s="30"/>
    </row>
    <row r="42" spans="1:15" ht="31.5" x14ac:dyDescent="0.25">
      <c r="A42" s="5">
        <v>27</v>
      </c>
      <c r="B42" s="82" t="s">
        <v>120</v>
      </c>
      <c r="C42" s="5"/>
      <c r="D42" s="5"/>
      <c r="E42" s="5">
        <v>1</v>
      </c>
      <c r="F42" s="5"/>
      <c r="G42" s="5">
        <v>1</v>
      </c>
      <c r="H42" s="71" t="s">
        <v>132</v>
      </c>
      <c r="I42" s="7"/>
      <c r="J42" s="67"/>
      <c r="K42" s="19" t="s">
        <v>133</v>
      </c>
      <c r="L42" s="85"/>
      <c r="M42" s="17"/>
      <c r="N42" s="19"/>
      <c r="O42" s="24"/>
    </row>
    <row r="43" spans="1:15" x14ac:dyDescent="0.25">
      <c r="A43" s="5">
        <v>28</v>
      </c>
      <c r="B43" s="80" t="s">
        <v>104</v>
      </c>
      <c r="C43" s="5">
        <v>1</v>
      </c>
      <c r="D43" s="5"/>
      <c r="E43" s="5"/>
      <c r="F43" s="5"/>
      <c r="G43" s="5">
        <v>1</v>
      </c>
      <c r="H43" s="72" t="s">
        <v>131</v>
      </c>
      <c r="I43" s="7"/>
      <c r="J43" s="67"/>
      <c r="K43" s="19" t="s">
        <v>133</v>
      </c>
      <c r="L43" s="85"/>
      <c r="M43" s="17"/>
      <c r="N43" s="19"/>
      <c r="O43" s="24"/>
    </row>
    <row r="44" spans="1:15" s="12" customFormat="1" ht="31.5" x14ac:dyDescent="0.25">
      <c r="A44" s="5">
        <v>29</v>
      </c>
      <c r="B44" s="82" t="s">
        <v>105</v>
      </c>
      <c r="C44" s="5">
        <v>1</v>
      </c>
      <c r="D44" s="5"/>
      <c r="E44" s="5"/>
      <c r="F44" s="5">
        <v>1</v>
      </c>
      <c r="G44" s="5"/>
      <c r="H44" s="71" t="s">
        <v>134</v>
      </c>
      <c r="I44" s="18"/>
      <c r="J44" s="83"/>
      <c r="K44" s="19" t="s">
        <v>133</v>
      </c>
      <c r="L44" s="85"/>
      <c r="M44" s="17"/>
      <c r="N44" s="19"/>
      <c r="O44" s="24"/>
    </row>
    <row r="45" spans="1:15" ht="16.5" thickBot="1" x14ac:dyDescent="0.3">
      <c r="A45" s="270">
        <v>30</v>
      </c>
      <c r="B45" s="33"/>
      <c r="C45" s="8">
        <f>SUM(C16:C44)</f>
        <v>28</v>
      </c>
      <c r="D45" s="8">
        <f>SUM(D16:D44)</f>
        <v>0</v>
      </c>
      <c r="E45" s="8">
        <f>SUM(E16:E44)</f>
        <v>1</v>
      </c>
      <c r="F45" s="8">
        <f>SUM(F16:F44)</f>
        <v>9</v>
      </c>
      <c r="G45" s="8">
        <f>SUM(G16:G44)</f>
        <v>18</v>
      </c>
      <c r="H45" s="34"/>
      <c r="I45" s="9"/>
      <c r="J45" s="9"/>
      <c r="K45" s="88"/>
      <c r="L45" s="35"/>
      <c r="M45" s="33"/>
      <c r="N45" s="36"/>
      <c r="O45" s="37"/>
    </row>
    <row r="46" spans="1:15" x14ac:dyDescent="0.25">
      <c r="A46" s="329" t="s">
        <v>20</v>
      </c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</row>
    <row r="47" spans="1:15" x14ac:dyDescent="0.25">
      <c r="A47" s="325" t="s">
        <v>24</v>
      </c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</row>
    <row r="48" spans="1:15" x14ac:dyDescent="0.25">
      <c r="A48" s="325" t="s">
        <v>25</v>
      </c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</row>
  </sheetData>
  <mergeCells count="23">
    <mergeCell ref="A10:O10"/>
    <mergeCell ref="A1:O5"/>
    <mergeCell ref="A6:O6"/>
    <mergeCell ref="A7:O7"/>
    <mergeCell ref="A8:O8"/>
    <mergeCell ref="A9:O9"/>
    <mergeCell ref="A11:O11"/>
    <mergeCell ref="A12:O12"/>
    <mergeCell ref="A13:O13"/>
    <mergeCell ref="A14:A15"/>
    <mergeCell ref="B14:B15"/>
    <mergeCell ref="C14:E14"/>
    <mergeCell ref="F14:G14"/>
    <mergeCell ref="H14:H15"/>
    <mergeCell ref="I14:I15"/>
    <mergeCell ref="J14:J15"/>
    <mergeCell ref="A48:O48"/>
    <mergeCell ref="K14:K15"/>
    <mergeCell ref="L14:L15"/>
    <mergeCell ref="M14:M15"/>
    <mergeCell ref="N14:O14"/>
    <mergeCell ref="A46:O46"/>
    <mergeCell ref="A47:O4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topLeftCell="A38" workbookViewId="0">
      <selection activeCell="C42" sqref="C42"/>
    </sheetView>
  </sheetViews>
  <sheetFormatPr defaultRowHeight="15.75" x14ac:dyDescent="0.25"/>
  <cols>
    <col min="1" max="1" width="5.42578125" style="38" customWidth="1"/>
    <col min="2" max="2" width="39.85546875" style="11" customWidth="1"/>
    <col min="3" max="3" width="9.85546875" style="11" customWidth="1"/>
    <col min="4" max="4" width="8.42578125" style="11" customWidth="1"/>
    <col min="5" max="5" width="12.85546875" style="11" customWidth="1"/>
    <col min="6" max="6" width="14.28515625" style="11" customWidth="1"/>
    <col min="7" max="7" width="19.140625" style="11" customWidth="1"/>
    <col min="8" max="8" width="36.140625" style="11" customWidth="1"/>
    <col min="9" max="10" width="20" style="11" customWidth="1"/>
    <col min="11" max="11" width="18.85546875" style="11" customWidth="1"/>
    <col min="12" max="12" width="20.85546875" style="39" customWidth="1"/>
    <col min="13" max="13" width="20" style="11" customWidth="1"/>
    <col min="14" max="14" width="16.7109375" style="11" customWidth="1"/>
    <col min="15" max="15" width="27" style="40" customWidth="1"/>
    <col min="16" max="16384" width="9.140625" style="11"/>
  </cols>
  <sheetData>
    <row r="1" spans="1:15" s="10" customFormat="1" x14ac:dyDescent="0.25">
      <c r="A1" s="309"/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</row>
    <row r="2" spans="1:15" s="10" customFormat="1" x14ac:dyDescent="0.25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</row>
    <row r="3" spans="1:15" s="10" customFormat="1" x14ac:dyDescent="0.25">
      <c r="A3" s="309"/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</row>
    <row r="4" spans="1:15" s="10" customFormat="1" x14ac:dyDescent="0.25">
      <c r="A4" s="309"/>
      <c r="B4" s="30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</row>
    <row r="5" spans="1:15" s="10" customFormat="1" x14ac:dyDescent="0.25">
      <c r="A5" s="309"/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</row>
    <row r="6" spans="1:15" s="10" customFormat="1" x14ac:dyDescent="0.25">
      <c r="A6" s="310" t="s">
        <v>0</v>
      </c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</row>
    <row r="7" spans="1:15" s="10" customFormat="1" x14ac:dyDescent="0.25">
      <c r="A7" s="308" t="s">
        <v>81</v>
      </c>
      <c r="B7" s="308"/>
      <c r="C7" s="308"/>
      <c r="D7" s="308"/>
      <c r="E7" s="308"/>
      <c r="F7" s="308"/>
      <c r="G7" s="308"/>
      <c r="H7" s="308"/>
      <c r="I7" s="308"/>
      <c r="J7" s="308"/>
      <c r="K7" s="308"/>
      <c r="L7" s="308"/>
      <c r="M7" s="308"/>
      <c r="N7" s="308"/>
      <c r="O7" s="308"/>
    </row>
    <row r="8" spans="1:15" s="10" customFormat="1" x14ac:dyDescent="0.25">
      <c r="A8" s="308" t="s">
        <v>82</v>
      </c>
      <c r="B8" s="308"/>
      <c r="C8" s="308"/>
      <c r="D8" s="308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</row>
    <row r="9" spans="1:15" s="10" customFormat="1" x14ac:dyDescent="0.25">
      <c r="A9" s="308"/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</row>
    <row r="10" spans="1:15" s="10" customFormat="1" x14ac:dyDescent="0.25">
      <c r="A10" s="308"/>
      <c r="B10" s="308"/>
      <c r="C10" s="308"/>
      <c r="D10" s="308"/>
      <c r="E10" s="308"/>
      <c r="F10" s="308"/>
      <c r="G10" s="308"/>
      <c r="H10" s="308"/>
      <c r="I10" s="308"/>
      <c r="J10" s="308"/>
      <c r="K10" s="308"/>
      <c r="L10" s="308"/>
      <c r="M10" s="308"/>
      <c r="N10" s="308"/>
      <c r="O10" s="308"/>
    </row>
    <row r="11" spans="1:15" ht="15.75" customHeight="1" x14ac:dyDescent="0.25">
      <c r="A11" s="311"/>
      <c r="B11" s="311"/>
      <c r="C11" s="311"/>
      <c r="D11" s="311"/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</row>
    <row r="12" spans="1:15" x14ac:dyDescent="0.25">
      <c r="A12" s="312" t="s">
        <v>163</v>
      </c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2"/>
      <c r="N12" s="312"/>
      <c r="O12" s="312"/>
    </row>
    <row r="13" spans="1:15" ht="16.5" thickBot="1" x14ac:dyDescent="0.3">
      <c r="A13" s="313" t="s">
        <v>1</v>
      </c>
      <c r="B13" s="313"/>
      <c r="C13" s="313"/>
      <c r="D13" s="313"/>
      <c r="E13" s="313"/>
      <c r="F13" s="313"/>
      <c r="G13" s="313"/>
      <c r="H13" s="313"/>
      <c r="I13" s="313"/>
      <c r="J13" s="313"/>
      <c r="K13" s="313"/>
      <c r="L13" s="313"/>
      <c r="M13" s="313"/>
      <c r="N13" s="313"/>
      <c r="O13" s="313"/>
    </row>
    <row r="14" spans="1:15" s="12" customFormat="1" ht="16.5" thickBot="1" x14ac:dyDescent="0.3">
      <c r="A14" s="314" t="s">
        <v>2</v>
      </c>
      <c r="B14" s="316" t="s">
        <v>3</v>
      </c>
      <c r="C14" s="318" t="s">
        <v>4</v>
      </c>
      <c r="D14" s="319"/>
      <c r="E14" s="320"/>
      <c r="F14" s="321" t="s">
        <v>5</v>
      </c>
      <c r="G14" s="322"/>
      <c r="H14" s="323" t="s">
        <v>6</v>
      </c>
      <c r="I14" s="323" t="s">
        <v>7</v>
      </c>
      <c r="J14" s="323" t="s">
        <v>8</v>
      </c>
      <c r="K14" s="316" t="s">
        <v>9</v>
      </c>
      <c r="L14" s="323" t="s">
        <v>10</v>
      </c>
      <c r="M14" s="323" t="s">
        <v>11</v>
      </c>
      <c r="N14" s="321" t="s">
        <v>12</v>
      </c>
      <c r="O14" s="328"/>
    </row>
    <row r="15" spans="1:15" s="12" customFormat="1" ht="16.5" thickBot="1" x14ac:dyDescent="0.3">
      <c r="A15" s="315"/>
      <c r="B15" s="317"/>
      <c r="C15" s="46" t="s">
        <v>13</v>
      </c>
      <c r="D15" s="45" t="s">
        <v>14</v>
      </c>
      <c r="E15" s="45" t="s">
        <v>15</v>
      </c>
      <c r="F15" s="64" t="s">
        <v>16</v>
      </c>
      <c r="G15" s="63" t="s">
        <v>17</v>
      </c>
      <c r="H15" s="327"/>
      <c r="I15" s="327"/>
      <c r="J15" s="327"/>
      <c r="K15" s="326"/>
      <c r="L15" s="327"/>
      <c r="M15" s="327"/>
      <c r="N15" s="48" t="s">
        <v>18</v>
      </c>
      <c r="O15" s="45" t="s">
        <v>19</v>
      </c>
    </row>
    <row r="16" spans="1:15" ht="47.25" x14ac:dyDescent="0.25">
      <c r="A16" s="1">
        <v>1</v>
      </c>
      <c r="B16" s="51" t="s">
        <v>159</v>
      </c>
      <c r="C16" s="90"/>
      <c r="D16" s="2"/>
      <c r="E16" s="2">
        <v>1</v>
      </c>
      <c r="F16" s="2"/>
      <c r="G16" s="2">
        <v>1</v>
      </c>
      <c r="H16" s="91" t="s">
        <v>160</v>
      </c>
      <c r="I16" s="3"/>
      <c r="J16" s="3"/>
      <c r="K16" s="15" t="s">
        <v>69</v>
      </c>
      <c r="L16" s="44"/>
      <c r="M16" s="14"/>
      <c r="N16" s="15"/>
      <c r="O16" s="16"/>
    </row>
    <row r="17" spans="1:15" s="12" customFormat="1" ht="47.25" x14ac:dyDescent="0.25">
      <c r="A17" s="4">
        <v>2</v>
      </c>
      <c r="B17" s="51" t="s">
        <v>135</v>
      </c>
      <c r="C17" s="5">
        <v>1</v>
      </c>
      <c r="D17" s="5"/>
      <c r="E17" s="5"/>
      <c r="F17" s="5"/>
      <c r="G17" s="5">
        <v>1</v>
      </c>
      <c r="H17" s="43" t="s">
        <v>161</v>
      </c>
      <c r="I17" s="6"/>
      <c r="J17" s="83"/>
      <c r="K17" s="19" t="s">
        <v>69</v>
      </c>
      <c r="L17" s="84"/>
      <c r="M17" s="17"/>
      <c r="N17" s="19"/>
      <c r="O17" s="20"/>
    </row>
    <row r="18" spans="1:15" x14ac:dyDescent="0.25">
      <c r="A18" s="4">
        <v>3</v>
      </c>
      <c r="B18" s="51" t="s">
        <v>136</v>
      </c>
      <c r="C18" s="5">
        <v>1</v>
      </c>
      <c r="D18" s="5"/>
      <c r="E18" s="5"/>
      <c r="F18" s="5"/>
      <c r="G18" s="5">
        <v>1</v>
      </c>
      <c r="H18" s="43" t="s">
        <v>116</v>
      </c>
      <c r="I18" s="7"/>
      <c r="J18" s="67"/>
      <c r="K18" s="19" t="s">
        <v>69</v>
      </c>
      <c r="L18" s="70"/>
      <c r="M18" s="17"/>
      <c r="N18" s="19"/>
      <c r="O18" s="20"/>
    </row>
    <row r="19" spans="1:15" ht="48" thickBot="1" x14ac:dyDescent="0.3">
      <c r="A19" s="4">
        <v>4</v>
      </c>
      <c r="B19" s="51" t="s">
        <v>48</v>
      </c>
      <c r="C19" s="5">
        <v>1</v>
      </c>
      <c r="D19" s="5"/>
      <c r="E19" s="5"/>
      <c r="F19" s="5"/>
      <c r="G19" s="5">
        <v>1</v>
      </c>
      <c r="H19" s="92" t="s">
        <v>162</v>
      </c>
      <c r="I19" s="7"/>
      <c r="J19" s="67"/>
      <c r="K19" s="19" t="s">
        <v>69</v>
      </c>
      <c r="L19" s="70"/>
      <c r="M19" s="17"/>
      <c r="N19" s="19"/>
      <c r="O19" s="22"/>
    </row>
    <row r="20" spans="1:15" ht="47.25" x14ac:dyDescent="0.25">
      <c r="A20" s="1">
        <v>5</v>
      </c>
      <c r="B20" s="51" t="s">
        <v>137</v>
      </c>
      <c r="C20" s="5">
        <v>1</v>
      </c>
      <c r="D20" s="5"/>
      <c r="E20" s="5"/>
      <c r="F20" s="5"/>
      <c r="G20" s="5">
        <v>1</v>
      </c>
      <c r="H20" s="93" t="s">
        <v>162</v>
      </c>
      <c r="I20" s="7"/>
      <c r="J20" s="67"/>
      <c r="K20" s="19" t="s">
        <v>69</v>
      </c>
      <c r="L20" s="80"/>
      <c r="M20" s="31"/>
      <c r="N20" s="19"/>
      <c r="O20" s="22"/>
    </row>
    <row r="21" spans="1:15" ht="47.25" x14ac:dyDescent="0.25">
      <c r="A21" s="4">
        <v>6</v>
      </c>
      <c r="B21" s="77" t="s">
        <v>138</v>
      </c>
      <c r="C21" s="5">
        <v>1</v>
      </c>
      <c r="D21" s="5"/>
      <c r="E21" s="5"/>
      <c r="F21" s="5"/>
      <c r="G21" s="5">
        <v>1</v>
      </c>
      <c r="H21" s="43" t="s">
        <v>162</v>
      </c>
      <c r="I21" s="7"/>
      <c r="J21" s="67"/>
      <c r="K21" s="19" t="s">
        <v>69</v>
      </c>
      <c r="L21" s="85"/>
      <c r="M21" s="17"/>
      <c r="N21" s="19"/>
      <c r="O21" s="22"/>
    </row>
    <row r="22" spans="1:15" ht="47.25" x14ac:dyDescent="0.25">
      <c r="A22" s="4">
        <v>7</v>
      </c>
      <c r="B22" s="78" t="s">
        <v>139</v>
      </c>
      <c r="C22" s="5"/>
      <c r="D22" s="5">
        <v>1</v>
      </c>
      <c r="E22" s="5"/>
      <c r="F22" s="5">
        <v>1</v>
      </c>
      <c r="G22" s="5"/>
      <c r="H22" s="53" t="s">
        <v>156</v>
      </c>
      <c r="I22" s="7"/>
      <c r="J22" s="67"/>
      <c r="K22" s="19" t="s">
        <v>69</v>
      </c>
      <c r="L22" s="85"/>
      <c r="M22" s="17"/>
      <c r="N22" s="19"/>
      <c r="O22" s="22"/>
    </row>
    <row r="23" spans="1:15" ht="48" thickBot="1" x14ac:dyDescent="0.3">
      <c r="A23" s="4">
        <v>8</v>
      </c>
      <c r="B23" s="51" t="s">
        <v>85</v>
      </c>
      <c r="C23" s="5">
        <v>1</v>
      </c>
      <c r="D23" s="5"/>
      <c r="E23" s="5"/>
      <c r="F23" s="5"/>
      <c r="G23" s="5">
        <v>1</v>
      </c>
      <c r="H23" s="54" t="s">
        <v>156</v>
      </c>
      <c r="I23" s="7"/>
      <c r="J23" s="67"/>
      <c r="K23" s="19" t="s">
        <v>69</v>
      </c>
      <c r="L23" s="85"/>
      <c r="M23" s="23"/>
      <c r="N23" s="19"/>
      <c r="O23" s="20"/>
    </row>
    <row r="24" spans="1:15" ht="47.25" x14ac:dyDescent="0.25">
      <c r="A24" s="1">
        <v>9</v>
      </c>
      <c r="B24" s="51" t="s">
        <v>45</v>
      </c>
      <c r="C24" s="5">
        <v>1</v>
      </c>
      <c r="D24" s="5"/>
      <c r="E24" s="5"/>
      <c r="F24" s="5"/>
      <c r="G24" s="5">
        <v>1</v>
      </c>
      <c r="H24" s="41" t="s">
        <v>156</v>
      </c>
      <c r="I24" s="7"/>
      <c r="J24" s="67"/>
      <c r="K24" s="19" t="s">
        <v>69</v>
      </c>
      <c r="L24" s="86"/>
      <c r="M24" s="17"/>
      <c r="N24" s="19"/>
      <c r="O24" s="24"/>
    </row>
    <row r="25" spans="1:15" ht="47.25" x14ac:dyDescent="0.25">
      <c r="A25" s="4">
        <v>10</v>
      </c>
      <c r="B25" s="79" t="s">
        <v>140</v>
      </c>
      <c r="C25" s="5">
        <v>1</v>
      </c>
      <c r="D25" s="5"/>
      <c r="E25" s="5"/>
      <c r="F25" s="5">
        <v>1</v>
      </c>
      <c r="G25" s="5"/>
      <c r="H25" s="91" t="s">
        <v>156</v>
      </c>
      <c r="I25" s="7"/>
      <c r="J25" s="67"/>
      <c r="K25" s="19" t="s">
        <v>69</v>
      </c>
      <c r="L25" s="85"/>
      <c r="M25" s="17"/>
      <c r="N25" s="19"/>
      <c r="O25" s="25"/>
    </row>
    <row r="26" spans="1:15" ht="47.25" x14ac:dyDescent="0.25">
      <c r="A26" s="4">
        <v>11</v>
      </c>
      <c r="B26" s="51" t="s">
        <v>34</v>
      </c>
      <c r="C26" s="5">
        <v>1</v>
      </c>
      <c r="D26" s="5"/>
      <c r="E26" s="5"/>
      <c r="F26" s="5"/>
      <c r="G26" s="5">
        <v>1</v>
      </c>
      <c r="H26" s="41" t="s">
        <v>156</v>
      </c>
      <c r="I26" s="7"/>
      <c r="J26" s="67"/>
      <c r="K26" s="19" t="s">
        <v>69</v>
      </c>
      <c r="L26" s="85"/>
      <c r="M26" s="17"/>
      <c r="N26" s="19"/>
      <c r="O26" s="26"/>
    </row>
    <row r="27" spans="1:15" s="12" customFormat="1" ht="48" thickBot="1" x14ac:dyDescent="0.3">
      <c r="A27" s="4">
        <v>12</v>
      </c>
      <c r="B27" s="79" t="s">
        <v>141</v>
      </c>
      <c r="C27" s="5">
        <v>1</v>
      </c>
      <c r="D27" s="5"/>
      <c r="E27" s="5"/>
      <c r="F27" s="5"/>
      <c r="G27" s="5">
        <v>1</v>
      </c>
      <c r="H27" s="91" t="s">
        <v>156</v>
      </c>
      <c r="I27" s="6"/>
      <c r="J27" s="75"/>
      <c r="K27" s="19" t="s">
        <v>69</v>
      </c>
      <c r="L27" s="85"/>
      <c r="M27" s="23"/>
      <c r="N27" s="27"/>
      <c r="O27" s="28"/>
    </row>
    <row r="28" spans="1:15" s="12" customFormat="1" ht="47.25" x14ac:dyDescent="0.25">
      <c r="A28" s="1">
        <v>13</v>
      </c>
      <c r="B28" s="78" t="s">
        <v>30</v>
      </c>
      <c r="C28" s="5">
        <v>1</v>
      </c>
      <c r="D28" s="5"/>
      <c r="E28" s="5"/>
      <c r="F28" s="5"/>
      <c r="G28" s="5">
        <v>1</v>
      </c>
      <c r="H28" s="93" t="s">
        <v>156</v>
      </c>
      <c r="I28" s="6"/>
      <c r="J28" s="75"/>
      <c r="K28" s="19" t="s">
        <v>69</v>
      </c>
      <c r="L28" s="85"/>
      <c r="M28" s="17"/>
      <c r="N28" s="19"/>
      <c r="O28" s="24"/>
    </row>
    <row r="29" spans="1:15" ht="36.75" customHeight="1" x14ac:dyDescent="0.25">
      <c r="A29" s="4">
        <v>14</v>
      </c>
      <c r="B29" s="51" t="s">
        <v>142</v>
      </c>
      <c r="C29" s="5">
        <v>1</v>
      </c>
      <c r="D29" s="5"/>
      <c r="E29" s="5"/>
      <c r="F29" s="5"/>
      <c r="G29" s="5">
        <v>1</v>
      </c>
      <c r="H29" s="41" t="s">
        <v>156</v>
      </c>
      <c r="I29" s="7"/>
      <c r="J29" s="67"/>
      <c r="K29" s="19" t="s">
        <v>69</v>
      </c>
      <c r="L29" s="85"/>
      <c r="M29" s="17"/>
      <c r="N29" s="19"/>
      <c r="O29" s="24"/>
    </row>
    <row r="30" spans="1:15" ht="47.25" x14ac:dyDescent="0.25">
      <c r="A30" s="4">
        <v>15</v>
      </c>
      <c r="B30" s="51" t="s">
        <v>143</v>
      </c>
      <c r="C30" s="5">
        <v>1</v>
      </c>
      <c r="D30" s="5"/>
      <c r="E30" s="5"/>
      <c r="F30" s="5"/>
      <c r="G30" s="5">
        <v>1</v>
      </c>
      <c r="H30" s="41" t="s">
        <v>156</v>
      </c>
      <c r="I30" s="7"/>
      <c r="J30" s="67"/>
      <c r="K30" s="19" t="s">
        <v>69</v>
      </c>
      <c r="L30" s="85"/>
      <c r="M30" s="17"/>
      <c r="N30" s="19"/>
      <c r="O30" s="24"/>
    </row>
    <row r="31" spans="1:15" ht="48" thickBot="1" x14ac:dyDescent="0.3">
      <c r="A31" s="4">
        <v>16</v>
      </c>
      <c r="B31" s="78" t="s">
        <v>144</v>
      </c>
      <c r="C31" s="5">
        <v>1</v>
      </c>
      <c r="D31" s="5"/>
      <c r="E31" s="5"/>
      <c r="F31" s="5"/>
      <c r="G31" s="5">
        <v>1</v>
      </c>
      <c r="H31" s="94" t="s">
        <v>157</v>
      </c>
      <c r="I31" s="7"/>
      <c r="J31" s="67"/>
      <c r="K31" s="19" t="s">
        <v>69</v>
      </c>
      <c r="L31" s="85"/>
      <c r="M31" s="17"/>
      <c r="N31" s="19"/>
      <c r="O31" s="24"/>
    </row>
    <row r="32" spans="1:15" s="12" customFormat="1" ht="47.25" x14ac:dyDescent="0.25">
      <c r="A32" s="1">
        <v>17</v>
      </c>
      <c r="B32" s="97" t="s">
        <v>145</v>
      </c>
      <c r="C32" s="5">
        <v>1</v>
      </c>
      <c r="D32" s="5"/>
      <c r="E32" s="5"/>
      <c r="F32" s="5"/>
      <c r="G32" s="5">
        <v>1</v>
      </c>
      <c r="H32" s="94" t="s">
        <v>157</v>
      </c>
      <c r="I32" s="6"/>
      <c r="J32" s="75"/>
      <c r="K32" s="19" t="s">
        <v>69</v>
      </c>
      <c r="L32" s="85"/>
      <c r="M32" s="17"/>
      <c r="N32" s="19"/>
      <c r="O32" s="24"/>
    </row>
    <row r="33" spans="1:15" s="12" customFormat="1" ht="47.25" x14ac:dyDescent="0.25">
      <c r="A33" s="65">
        <v>18</v>
      </c>
      <c r="B33" s="51" t="s">
        <v>146</v>
      </c>
      <c r="C33" s="5">
        <v>1</v>
      </c>
      <c r="D33" s="66"/>
      <c r="E33" s="66"/>
      <c r="F33" s="66"/>
      <c r="G33" s="66">
        <v>1</v>
      </c>
      <c r="H33" s="94" t="s">
        <v>157</v>
      </c>
      <c r="I33" s="18"/>
      <c r="J33" s="83"/>
      <c r="K33" s="19" t="s">
        <v>69</v>
      </c>
      <c r="L33" s="85"/>
      <c r="M33" s="17"/>
      <c r="N33" s="19"/>
      <c r="O33" s="29"/>
    </row>
    <row r="34" spans="1:15" s="12" customFormat="1" ht="47.25" x14ac:dyDescent="0.25">
      <c r="A34" s="4">
        <v>19</v>
      </c>
      <c r="B34" s="98" t="s">
        <v>147</v>
      </c>
      <c r="C34" s="5">
        <v>1</v>
      </c>
      <c r="D34" s="5"/>
      <c r="E34" s="5"/>
      <c r="F34" s="5"/>
      <c r="G34" s="5">
        <v>1</v>
      </c>
      <c r="H34" s="94" t="s">
        <v>157</v>
      </c>
      <c r="I34" s="6"/>
      <c r="J34" s="75"/>
      <c r="K34" s="19" t="s">
        <v>69</v>
      </c>
      <c r="L34" s="85"/>
      <c r="M34" s="17"/>
      <c r="N34" s="19"/>
      <c r="O34" s="24"/>
    </row>
    <row r="35" spans="1:15" ht="48" thickBot="1" x14ac:dyDescent="0.3">
      <c r="A35" s="4">
        <v>20</v>
      </c>
      <c r="B35" s="99" t="s">
        <v>148</v>
      </c>
      <c r="C35" s="5"/>
      <c r="D35" s="5">
        <v>1</v>
      </c>
      <c r="E35" s="5"/>
      <c r="F35" s="5">
        <v>1</v>
      </c>
      <c r="G35" s="5"/>
      <c r="H35" s="94" t="s">
        <v>157</v>
      </c>
      <c r="I35" s="7"/>
      <c r="J35" s="67"/>
      <c r="K35" s="19" t="s">
        <v>69</v>
      </c>
      <c r="L35" s="85"/>
      <c r="M35" s="17"/>
      <c r="N35" s="19"/>
      <c r="O35" s="24"/>
    </row>
    <row r="36" spans="1:15" ht="47.25" x14ac:dyDescent="0.25">
      <c r="A36" s="1">
        <v>21</v>
      </c>
      <c r="B36" s="51" t="s">
        <v>149</v>
      </c>
      <c r="C36" s="5">
        <v>1</v>
      </c>
      <c r="D36" s="5"/>
      <c r="E36" s="5"/>
      <c r="F36" s="5"/>
      <c r="G36" s="5">
        <v>1</v>
      </c>
      <c r="H36" s="94" t="s">
        <v>157</v>
      </c>
      <c r="I36" s="7"/>
      <c r="J36" s="67"/>
      <c r="K36" s="19" t="s">
        <v>69</v>
      </c>
      <c r="L36" s="85"/>
      <c r="M36" s="17"/>
      <c r="N36" s="19"/>
      <c r="O36" s="24"/>
    </row>
    <row r="37" spans="1:15" ht="47.25" x14ac:dyDescent="0.25">
      <c r="A37" s="4">
        <v>22</v>
      </c>
      <c r="B37" s="99" t="s">
        <v>150</v>
      </c>
      <c r="C37" s="5">
        <v>1</v>
      </c>
      <c r="D37" s="5"/>
      <c r="E37" s="5"/>
      <c r="F37" s="5"/>
      <c r="G37" s="5">
        <v>1</v>
      </c>
      <c r="H37" s="94" t="s">
        <v>157</v>
      </c>
      <c r="I37" s="7"/>
      <c r="J37" s="67"/>
      <c r="K37" s="19" t="s">
        <v>69</v>
      </c>
      <c r="L37" s="85"/>
      <c r="M37" s="17"/>
      <c r="N37" s="19"/>
      <c r="O37" s="30"/>
    </row>
    <row r="38" spans="1:15" ht="47.25" x14ac:dyDescent="0.25">
      <c r="A38" s="4">
        <v>23</v>
      </c>
      <c r="B38" s="51" t="s">
        <v>151</v>
      </c>
      <c r="C38" s="5">
        <v>1</v>
      </c>
      <c r="D38" s="5"/>
      <c r="E38" s="5"/>
      <c r="F38" s="5"/>
      <c r="G38" s="5">
        <v>1</v>
      </c>
      <c r="H38" s="94" t="s">
        <v>157</v>
      </c>
      <c r="I38" s="7"/>
      <c r="J38" s="67"/>
      <c r="K38" s="19" t="s">
        <v>69</v>
      </c>
      <c r="L38" s="87"/>
      <c r="M38" s="17"/>
      <c r="N38" s="19"/>
      <c r="O38" s="30"/>
    </row>
    <row r="39" spans="1:15" ht="48" thickBot="1" x14ac:dyDescent="0.3">
      <c r="A39" s="4">
        <v>24</v>
      </c>
      <c r="B39" s="99" t="s">
        <v>152</v>
      </c>
      <c r="C39" s="5">
        <v>1</v>
      </c>
      <c r="D39" s="5"/>
      <c r="E39" s="5"/>
      <c r="F39" s="5">
        <v>1</v>
      </c>
      <c r="G39" s="5"/>
      <c r="H39" s="94" t="s">
        <v>157</v>
      </c>
      <c r="I39" s="32"/>
      <c r="J39" s="67"/>
      <c r="K39" s="19" t="s">
        <v>69</v>
      </c>
      <c r="L39" s="85"/>
      <c r="M39" s="17"/>
      <c r="N39" s="19"/>
      <c r="O39" s="30"/>
    </row>
    <row r="40" spans="1:15" ht="47.25" x14ac:dyDescent="0.25">
      <c r="A40" s="1">
        <v>25</v>
      </c>
      <c r="B40" s="51" t="s">
        <v>153</v>
      </c>
      <c r="C40" s="5">
        <v>1</v>
      </c>
      <c r="D40" s="5"/>
      <c r="E40" s="5"/>
      <c r="F40" s="5">
        <v>1</v>
      </c>
      <c r="G40" s="5"/>
      <c r="H40" s="94" t="s">
        <v>157</v>
      </c>
      <c r="I40" s="32"/>
      <c r="J40" s="67"/>
      <c r="K40" s="19" t="s">
        <v>69</v>
      </c>
      <c r="L40" s="85"/>
      <c r="M40" s="17"/>
      <c r="N40" s="19"/>
      <c r="O40" s="30"/>
    </row>
    <row r="41" spans="1:15" ht="47.25" x14ac:dyDescent="0.25">
      <c r="A41" s="4">
        <v>26</v>
      </c>
      <c r="B41" s="51" t="s">
        <v>154</v>
      </c>
      <c r="C41" s="5">
        <v>1</v>
      </c>
      <c r="D41" s="5"/>
      <c r="E41" s="5"/>
      <c r="F41" s="5"/>
      <c r="G41" s="5">
        <v>1</v>
      </c>
      <c r="H41" s="95" t="s">
        <v>158</v>
      </c>
      <c r="I41" s="32"/>
      <c r="J41" s="67"/>
      <c r="K41" s="19" t="s">
        <v>69</v>
      </c>
      <c r="L41" s="85"/>
      <c r="M41" s="17"/>
      <c r="N41" s="19"/>
      <c r="O41" s="30"/>
    </row>
    <row r="42" spans="1:15" x14ac:dyDescent="0.25">
      <c r="A42" s="4">
        <v>27</v>
      </c>
      <c r="B42" s="51" t="s">
        <v>155</v>
      </c>
      <c r="C42" s="5">
        <v>1</v>
      </c>
      <c r="D42" s="5"/>
      <c r="E42" s="5"/>
      <c r="F42" s="5">
        <v>1</v>
      </c>
      <c r="G42" s="5"/>
      <c r="H42" s="96" t="s">
        <v>116</v>
      </c>
      <c r="I42" s="7"/>
      <c r="J42" s="67"/>
      <c r="K42" s="19" t="s">
        <v>69</v>
      </c>
      <c r="L42" s="85"/>
      <c r="M42" s="17"/>
      <c r="N42" s="19"/>
      <c r="O42" s="24"/>
    </row>
    <row r="43" spans="1:15" ht="16.5" thickBot="1" x14ac:dyDescent="0.3">
      <c r="A43" s="4">
        <v>30</v>
      </c>
      <c r="B43" s="33"/>
      <c r="C43" s="8">
        <f>SUM(C16:C42)</f>
        <v>24</v>
      </c>
      <c r="D43" s="8">
        <f>SUM(D16:D42)</f>
        <v>2</v>
      </c>
      <c r="E43" s="8">
        <f>SUM(E16:E42)</f>
        <v>1</v>
      </c>
      <c r="F43" s="8">
        <f>SUM(F16:F42)</f>
        <v>6</v>
      </c>
      <c r="G43" s="8">
        <f>SUM(G16:G42)</f>
        <v>21</v>
      </c>
      <c r="H43" s="34"/>
      <c r="I43" s="9"/>
      <c r="J43" s="9"/>
      <c r="K43" s="88"/>
      <c r="L43" s="35"/>
      <c r="M43" s="33"/>
      <c r="N43" s="36"/>
      <c r="O43" s="37"/>
    </row>
    <row r="44" spans="1:15" x14ac:dyDescent="0.25">
      <c r="A44" s="329" t="s">
        <v>20</v>
      </c>
      <c r="B44" s="329"/>
      <c r="C44" s="329"/>
      <c r="D44" s="329"/>
      <c r="E44" s="329"/>
      <c r="F44" s="329"/>
      <c r="G44" s="329"/>
      <c r="H44" s="329"/>
      <c r="I44" s="329"/>
      <c r="J44" s="329"/>
      <c r="K44" s="329"/>
      <c r="L44" s="329"/>
      <c r="M44" s="329"/>
      <c r="N44" s="329"/>
      <c r="O44" s="329"/>
    </row>
    <row r="45" spans="1:15" x14ac:dyDescent="0.25">
      <c r="A45" s="325" t="s">
        <v>24</v>
      </c>
      <c r="B45" s="325"/>
      <c r="C45" s="325"/>
      <c r="D45" s="325"/>
      <c r="E45" s="325"/>
      <c r="F45" s="325"/>
      <c r="G45" s="325"/>
      <c r="H45" s="325"/>
      <c r="I45" s="325"/>
      <c r="J45" s="325"/>
      <c r="K45" s="325"/>
      <c r="L45" s="325"/>
      <c r="M45" s="325"/>
      <c r="N45" s="325"/>
      <c r="O45" s="325"/>
    </row>
    <row r="46" spans="1:15" x14ac:dyDescent="0.25">
      <c r="A46" s="325" t="s">
        <v>25</v>
      </c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</row>
  </sheetData>
  <mergeCells count="23">
    <mergeCell ref="A10:O10"/>
    <mergeCell ref="A1:O5"/>
    <mergeCell ref="A6:O6"/>
    <mergeCell ref="A7:O7"/>
    <mergeCell ref="A8:O8"/>
    <mergeCell ref="A9:O9"/>
    <mergeCell ref="A11:O11"/>
    <mergeCell ref="A12:O12"/>
    <mergeCell ref="A13:O13"/>
    <mergeCell ref="A14:A15"/>
    <mergeCell ref="B14:B15"/>
    <mergeCell ref="C14:E14"/>
    <mergeCell ref="F14:G14"/>
    <mergeCell ref="H14:H15"/>
    <mergeCell ref="I14:I15"/>
    <mergeCell ref="J14:J15"/>
    <mergeCell ref="A46:O46"/>
    <mergeCell ref="K14:K15"/>
    <mergeCell ref="L14:L15"/>
    <mergeCell ref="M14:M15"/>
    <mergeCell ref="N14:O14"/>
    <mergeCell ref="A44:O44"/>
    <mergeCell ref="A45:O4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7"/>
  <sheetViews>
    <sheetView topLeftCell="A29" workbookViewId="0">
      <selection activeCell="C32" sqref="C32:E32"/>
    </sheetView>
  </sheetViews>
  <sheetFormatPr defaultRowHeight="15.75" x14ac:dyDescent="0.25"/>
  <cols>
    <col min="1" max="1" width="5.42578125" style="38" customWidth="1"/>
    <col min="2" max="2" width="39.85546875" style="11" customWidth="1"/>
    <col min="3" max="3" width="9.85546875" style="11" customWidth="1"/>
    <col min="4" max="4" width="8.42578125" style="11" customWidth="1"/>
    <col min="5" max="5" width="12.85546875" style="11" customWidth="1"/>
    <col min="6" max="6" width="14.28515625" style="11" customWidth="1"/>
    <col min="7" max="7" width="19.140625" style="11" customWidth="1"/>
    <col min="8" max="8" width="36.140625" style="11" customWidth="1"/>
    <col min="9" max="10" width="20" style="11" customWidth="1"/>
    <col min="11" max="11" width="18.85546875" style="11" customWidth="1"/>
    <col min="12" max="12" width="20.85546875" style="39" customWidth="1"/>
    <col min="13" max="13" width="20" style="11" customWidth="1"/>
    <col min="14" max="14" width="16.7109375" style="11" customWidth="1"/>
    <col min="15" max="15" width="27" style="40" customWidth="1"/>
    <col min="16" max="16384" width="9.140625" style="11"/>
  </cols>
  <sheetData>
    <row r="1" spans="1:15" s="10" customFormat="1" x14ac:dyDescent="0.25">
      <c r="A1" s="309"/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</row>
    <row r="2" spans="1:15" s="10" customFormat="1" x14ac:dyDescent="0.25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</row>
    <row r="3" spans="1:15" s="10" customFormat="1" x14ac:dyDescent="0.25">
      <c r="A3" s="309"/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</row>
    <row r="4" spans="1:15" s="10" customFormat="1" x14ac:dyDescent="0.25">
      <c r="A4" s="309"/>
      <c r="B4" s="30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</row>
    <row r="5" spans="1:15" s="10" customFormat="1" x14ac:dyDescent="0.25">
      <c r="A5" s="309"/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</row>
    <row r="6" spans="1:15" s="10" customFormat="1" x14ac:dyDescent="0.25">
      <c r="A6" s="310" t="s">
        <v>0</v>
      </c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</row>
    <row r="7" spans="1:15" s="10" customFormat="1" x14ac:dyDescent="0.25">
      <c r="A7" s="308" t="s">
        <v>81</v>
      </c>
      <c r="B7" s="308"/>
      <c r="C7" s="308"/>
      <c r="D7" s="308"/>
      <c r="E7" s="308"/>
      <c r="F7" s="308"/>
      <c r="G7" s="308"/>
      <c r="H7" s="308"/>
      <c r="I7" s="308"/>
      <c r="J7" s="308"/>
      <c r="K7" s="308"/>
      <c r="L7" s="308"/>
      <c r="M7" s="308"/>
      <c r="N7" s="308"/>
      <c r="O7" s="308"/>
    </row>
    <row r="8" spans="1:15" s="10" customFormat="1" x14ac:dyDescent="0.25">
      <c r="A8" s="308" t="s">
        <v>82</v>
      </c>
      <c r="B8" s="308"/>
      <c r="C8" s="308"/>
      <c r="D8" s="308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</row>
    <row r="9" spans="1:15" s="10" customFormat="1" x14ac:dyDescent="0.25">
      <c r="A9" s="308"/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</row>
    <row r="10" spans="1:15" s="10" customFormat="1" x14ac:dyDescent="0.25">
      <c r="A10" s="308"/>
      <c r="B10" s="308"/>
      <c r="C10" s="308"/>
      <c r="D10" s="308"/>
      <c r="E10" s="308"/>
      <c r="F10" s="308"/>
      <c r="G10" s="308"/>
      <c r="H10" s="308"/>
      <c r="I10" s="308"/>
      <c r="J10" s="308"/>
      <c r="K10" s="308"/>
      <c r="L10" s="308"/>
      <c r="M10" s="308"/>
      <c r="N10" s="308"/>
      <c r="O10" s="308"/>
    </row>
    <row r="11" spans="1:15" ht="15.75" customHeight="1" x14ac:dyDescent="0.25">
      <c r="A11" s="311"/>
      <c r="B11" s="311"/>
      <c r="C11" s="311"/>
      <c r="D11" s="311"/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</row>
    <row r="12" spans="1:15" x14ac:dyDescent="0.25">
      <c r="A12" s="312" t="s">
        <v>212</v>
      </c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2"/>
      <c r="N12" s="312"/>
      <c r="O12" s="312"/>
    </row>
    <row r="13" spans="1:15" ht="16.5" thickBot="1" x14ac:dyDescent="0.3">
      <c r="A13" s="313" t="s">
        <v>1</v>
      </c>
      <c r="B13" s="313"/>
      <c r="C13" s="313"/>
      <c r="D13" s="313"/>
      <c r="E13" s="313"/>
      <c r="F13" s="313"/>
      <c r="G13" s="313"/>
      <c r="H13" s="313"/>
      <c r="I13" s="313"/>
      <c r="J13" s="313"/>
      <c r="K13" s="313"/>
      <c r="L13" s="313"/>
      <c r="M13" s="313"/>
      <c r="N13" s="313"/>
      <c r="O13" s="313"/>
    </row>
    <row r="14" spans="1:15" s="12" customFormat="1" ht="16.5" thickBot="1" x14ac:dyDescent="0.3">
      <c r="A14" s="314" t="s">
        <v>2</v>
      </c>
      <c r="B14" s="316" t="s">
        <v>3</v>
      </c>
      <c r="C14" s="318" t="s">
        <v>4</v>
      </c>
      <c r="D14" s="319"/>
      <c r="E14" s="320"/>
      <c r="F14" s="321" t="s">
        <v>5</v>
      </c>
      <c r="G14" s="322"/>
      <c r="H14" s="323" t="s">
        <v>6</v>
      </c>
      <c r="I14" s="323" t="s">
        <v>7</v>
      </c>
      <c r="J14" s="323" t="s">
        <v>8</v>
      </c>
      <c r="K14" s="316" t="s">
        <v>9</v>
      </c>
      <c r="L14" s="323" t="s">
        <v>10</v>
      </c>
      <c r="M14" s="323" t="s">
        <v>11</v>
      </c>
      <c r="N14" s="321" t="s">
        <v>12</v>
      </c>
      <c r="O14" s="328"/>
    </row>
    <row r="15" spans="1:15" s="12" customFormat="1" ht="16.5" thickBot="1" x14ac:dyDescent="0.3">
      <c r="A15" s="315"/>
      <c r="B15" s="317"/>
      <c r="C15" s="46" t="s">
        <v>13</v>
      </c>
      <c r="D15" s="45" t="s">
        <v>14</v>
      </c>
      <c r="E15" s="45" t="s">
        <v>15</v>
      </c>
      <c r="F15" s="64" t="s">
        <v>16</v>
      </c>
      <c r="G15" s="63" t="s">
        <v>17</v>
      </c>
      <c r="H15" s="327"/>
      <c r="I15" s="327"/>
      <c r="J15" s="327"/>
      <c r="K15" s="326"/>
      <c r="L15" s="327"/>
      <c r="M15" s="327"/>
      <c r="N15" s="48" t="s">
        <v>18</v>
      </c>
      <c r="O15" s="45" t="s">
        <v>19</v>
      </c>
    </row>
    <row r="16" spans="1:15" ht="31.5" x14ac:dyDescent="0.25">
      <c r="A16" s="1">
        <v>1</v>
      </c>
      <c r="B16" s="103" t="s">
        <v>164</v>
      </c>
      <c r="C16" s="90">
        <v>1</v>
      </c>
      <c r="D16" s="2"/>
      <c r="E16" s="2"/>
      <c r="F16" s="2"/>
      <c r="G16" s="2">
        <v>1</v>
      </c>
      <c r="H16" s="108" t="s">
        <v>173</v>
      </c>
      <c r="I16" s="3"/>
      <c r="J16" s="100"/>
      <c r="K16" s="15" t="s">
        <v>192</v>
      </c>
      <c r="L16" s="107" t="s">
        <v>182</v>
      </c>
      <c r="M16" s="14"/>
      <c r="N16" s="106"/>
      <c r="O16" s="16"/>
    </row>
    <row r="17" spans="1:15" s="12" customFormat="1" ht="31.5" x14ac:dyDescent="0.25">
      <c r="A17" s="4">
        <v>2</v>
      </c>
      <c r="B17" s="103" t="s">
        <v>165</v>
      </c>
      <c r="C17" s="5">
        <v>1</v>
      </c>
      <c r="D17" s="5"/>
      <c r="E17" s="5"/>
      <c r="F17" s="5"/>
      <c r="G17" s="5">
        <v>1</v>
      </c>
      <c r="H17" s="108" t="s">
        <v>174</v>
      </c>
      <c r="I17" s="6"/>
      <c r="J17" s="83"/>
      <c r="K17" s="19" t="s">
        <v>192</v>
      </c>
      <c r="L17" s="107" t="s">
        <v>183</v>
      </c>
      <c r="M17" s="17" t="s">
        <v>196</v>
      </c>
      <c r="N17" s="106">
        <v>842021693</v>
      </c>
      <c r="O17" s="20"/>
    </row>
    <row r="18" spans="1:15" ht="31.5" x14ac:dyDescent="0.25">
      <c r="A18" s="4">
        <v>3</v>
      </c>
      <c r="B18" s="103" t="s">
        <v>166</v>
      </c>
      <c r="C18" s="5"/>
      <c r="D18" s="5">
        <v>1</v>
      </c>
      <c r="E18" s="5"/>
      <c r="F18" s="5">
        <v>1</v>
      </c>
      <c r="G18" s="5"/>
      <c r="H18" s="108" t="s">
        <v>106</v>
      </c>
      <c r="I18" s="7"/>
      <c r="J18" s="67"/>
      <c r="K18" s="19" t="s">
        <v>192</v>
      </c>
      <c r="L18" s="107" t="s">
        <v>184</v>
      </c>
      <c r="M18" s="17" t="s">
        <v>194</v>
      </c>
      <c r="N18" s="106"/>
      <c r="O18" s="20"/>
    </row>
    <row r="19" spans="1:15" ht="32.25" thickBot="1" x14ac:dyDescent="0.3">
      <c r="A19" s="4">
        <v>4</v>
      </c>
      <c r="B19" s="103" t="s">
        <v>167</v>
      </c>
      <c r="C19" s="5">
        <v>1</v>
      </c>
      <c r="D19" s="5"/>
      <c r="E19" s="5"/>
      <c r="F19" s="5">
        <v>1</v>
      </c>
      <c r="G19" s="5"/>
      <c r="H19" s="108" t="s">
        <v>106</v>
      </c>
      <c r="I19" s="7"/>
      <c r="J19" s="67"/>
      <c r="K19" s="19" t="s">
        <v>192</v>
      </c>
      <c r="L19" s="107" t="s">
        <v>184</v>
      </c>
      <c r="M19" s="17" t="s">
        <v>195</v>
      </c>
      <c r="N19" s="106"/>
      <c r="O19" s="22"/>
    </row>
    <row r="20" spans="1:15" ht="49.5" x14ac:dyDescent="0.25">
      <c r="A20" s="1">
        <v>5</v>
      </c>
      <c r="B20" s="103" t="s">
        <v>154</v>
      </c>
      <c r="C20" s="5">
        <v>1</v>
      </c>
      <c r="D20" s="5"/>
      <c r="E20" s="5"/>
      <c r="F20" s="5"/>
      <c r="G20" s="5">
        <v>1</v>
      </c>
      <c r="H20" s="108" t="s">
        <v>193</v>
      </c>
      <c r="I20" s="7"/>
      <c r="J20" s="67"/>
      <c r="K20" s="19" t="s">
        <v>192</v>
      </c>
      <c r="L20" s="107" t="s">
        <v>185</v>
      </c>
      <c r="M20" s="31" t="s">
        <v>197</v>
      </c>
      <c r="N20" s="106" t="s">
        <v>198</v>
      </c>
      <c r="O20" s="22"/>
    </row>
    <row r="21" spans="1:15" ht="47.25" x14ac:dyDescent="0.25">
      <c r="A21" s="4">
        <v>6</v>
      </c>
      <c r="B21" s="103" t="s">
        <v>61</v>
      </c>
      <c r="C21" s="5"/>
      <c r="D21" s="5"/>
      <c r="E21" s="5">
        <v>1</v>
      </c>
      <c r="F21" s="5">
        <v>1</v>
      </c>
      <c r="G21" s="5"/>
      <c r="H21" s="108" t="s">
        <v>175</v>
      </c>
      <c r="I21" s="7"/>
      <c r="J21" s="67"/>
      <c r="K21" s="19" t="s">
        <v>192</v>
      </c>
      <c r="L21" s="107" t="s">
        <v>186</v>
      </c>
      <c r="M21" s="17" t="s">
        <v>199</v>
      </c>
      <c r="N21" s="106">
        <v>866190689</v>
      </c>
      <c r="O21" s="22"/>
    </row>
    <row r="22" spans="1:15" ht="31.5" x14ac:dyDescent="0.25">
      <c r="A22" s="4">
        <v>7</v>
      </c>
      <c r="B22" s="103" t="s">
        <v>148</v>
      </c>
      <c r="C22" s="5"/>
      <c r="D22" s="5">
        <v>1</v>
      </c>
      <c r="E22" s="5"/>
      <c r="F22" s="5">
        <v>1</v>
      </c>
      <c r="G22" s="5"/>
      <c r="H22" s="108" t="s">
        <v>209</v>
      </c>
      <c r="I22" s="7"/>
      <c r="J22" s="67"/>
      <c r="K22" s="19" t="s">
        <v>192</v>
      </c>
      <c r="L22" s="107" t="s">
        <v>187</v>
      </c>
      <c r="M22" s="17" t="s">
        <v>200</v>
      </c>
      <c r="N22" s="106">
        <v>846776710</v>
      </c>
      <c r="O22" s="22"/>
    </row>
    <row r="23" spans="1:15" ht="32.25" thickBot="1" x14ac:dyDescent="0.3">
      <c r="A23" s="4">
        <v>8</v>
      </c>
      <c r="B23" s="104" t="s">
        <v>85</v>
      </c>
      <c r="C23" s="5">
        <v>1</v>
      </c>
      <c r="D23" s="5"/>
      <c r="E23" s="5"/>
      <c r="F23" s="5"/>
      <c r="G23" s="5">
        <v>1</v>
      </c>
      <c r="H23" s="108" t="s">
        <v>177</v>
      </c>
      <c r="I23" s="7"/>
      <c r="J23" s="67"/>
      <c r="K23" s="19" t="s">
        <v>192</v>
      </c>
      <c r="L23" s="107" t="s">
        <v>187</v>
      </c>
      <c r="M23" s="23" t="s">
        <v>201</v>
      </c>
      <c r="N23" s="106">
        <v>872057174</v>
      </c>
      <c r="O23" s="20"/>
    </row>
    <row r="24" spans="1:15" ht="47.25" x14ac:dyDescent="0.25">
      <c r="A24" s="1">
        <v>9</v>
      </c>
      <c r="B24" s="105" t="s">
        <v>168</v>
      </c>
      <c r="C24" s="5">
        <v>1</v>
      </c>
      <c r="D24" s="5"/>
      <c r="E24" s="5"/>
      <c r="F24" s="5"/>
      <c r="G24" s="5">
        <v>1</v>
      </c>
      <c r="H24" s="108" t="s">
        <v>211</v>
      </c>
      <c r="I24" s="7"/>
      <c r="J24" s="67"/>
      <c r="K24" s="19" t="s">
        <v>192</v>
      </c>
      <c r="L24" s="107" t="s">
        <v>188</v>
      </c>
      <c r="M24" s="17" t="s">
        <v>202</v>
      </c>
      <c r="N24" s="106">
        <v>869904953</v>
      </c>
      <c r="O24" s="25"/>
    </row>
    <row r="25" spans="1:15" ht="31.5" x14ac:dyDescent="0.25">
      <c r="A25" s="4">
        <v>10</v>
      </c>
      <c r="B25" s="103" t="s">
        <v>90</v>
      </c>
      <c r="C25" s="5"/>
      <c r="D25" s="5"/>
      <c r="E25" s="5">
        <v>1</v>
      </c>
      <c r="F25" s="5"/>
      <c r="G25" s="5">
        <v>1</v>
      </c>
      <c r="H25" s="108" t="s">
        <v>178</v>
      </c>
      <c r="I25" s="7"/>
      <c r="J25" s="67"/>
      <c r="K25" s="19" t="s">
        <v>192</v>
      </c>
      <c r="L25" s="107" t="s">
        <v>189</v>
      </c>
      <c r="M25" s="17" t="s">
        <v>203</v>
      </c>
      <c r="N25" s="106">
        <v>865290393</v>
      </c>
      <c r="O25" s="26"/>
    </row>
    <row r="26" spans="1:15" s="12" customFormat="1" ht="31.5" x14ac:dyDescent="0.25">
      <c r="A26" s="4">
        <v>11</v>
      </c>
      <c r="B26" s="103" t="s">
        <v>169</v>
      </c>
      <c r="C26" s="5"/>
      <c r="D26" s="5"/>
      <c r="E26" s="5">
        <v>1</v>
      </c>
      <c r="F26" s="5">
        <v>1</v>
      </c>
      <c r="G26" s="5"/>
      <c r="H26" s="108" t="s">
        <v>179</v>
      </c>
      <c r="I26" s="6"/>
      <c r="J26" s="75"/>
      <c r="K26" s="19" t="s">
        <v>192</v>
      </c>
      <c r="L26" s="107" t="s">
        <v>187</v>
      </c>
      <c r="M26" s="23" t="s">
        <v>204</v>
      </c>
      <c r="N26" s="106">
        <v>820522372</v>
      </c>
      <c r="O26" s="28"/>
    </row>
    <row r="27" spans="1:15" s="12" customFormat="1" ht="32.25" thickBot="1" x14ac:dyDescent="0.3">
      <c r="A27" s="4">
        <v>12</v>
      </c>
      <c r="B27" s="103" t="s">
        <v>170</v>
      </c>
      <c r="C27" s="5">
        <v>1</v>
      </c>
      <c r="D27" s="5"/>
      <c r="E27" s="5"/>
      <c r="F27" s="5">
        <v>1</v>
      </c>
      <c r="G27" s="5"/>
      <c r="H27" s="108" t="s">
        <v>180</v>
      </c>
      <c r="I27" s="6"/>
      <c r="J27" s="75"/>
      <c r="K27" s="19" t="s">
        <v>192</v>
      </c>
      <c r="L27" s="107" t="s">
        <v>187</v>
      </c>
      <c r="M27" s="17" t="s">
        <v>205</v>
      </c>
      <c r="N27" s="106">
        <v>863144887</v>
      </c>
      <c r="O27" s="24"/>
    </row>
    <row r="28" spans="1:15" ht="36.75" customHeight="1" x14ac:dyDescent="0.25">
      <c r="A28" s="1">
        <v>13</v>
      </c>
      <c r="B28" s="103" t="s">
        <v>171</v>
      </c>
      <c r="C28" s="5"/>
      <c r="D28" s="5"/>
      <c r="E28" s="5">
        <v>1</v>
      </c>
      <c r="F28" s="5">
        <v>1</v>
      </c>
      <c r="G28" s="5"/>
      <c r="H28" s="108" t="s">
        <v>176</v>
      </c>
      <c r="I28" s="7"/>
      <c r="J28" s="67"/>
      <c r="K28" s="19" t="s">
        <v>192</v>
      </c>
      <c r="L28" s="107" t="s">
        <v>187</v>
      </c>
      <c r="M28" s="17" t="s">
        <v>206</v>
      </c>
      <c r="N28" s="106" t="s">
        <v>207</v>
      </c>
      <c r="O28" s="24"/>
    </row>
    <row r="29" spans="1:15" s="12" customFormat="1" ht="31.5" x14ac:dyDescent="0.25">
      <c r="A29" s="4">
        <v>14</v>
      </c>
      <c r="B29" s="103" t="s">
        <v>172</v>
      </c>
      <c r="C29" s="5">
        <v>1</v>
      </c>
      <c r="D29" s="5"/>
      <c r="E29" s="5"/>
      <c r="F29" s="5"/>
      <c r="G29" s="5">
        <v>1</v>
      </c>
      <c r="H29" s="108" t="s">
        <v>181</v>
      </c>
      <c r="I29" s="6"/>
      <c r="J29" s="75"/>
      <c r="K29" s="19" t="s">
        <v>192</v>
      </c>
      <c r="L29" s="107" t="s">
        <v>190</v>
      </c>
      <c r="M29" s="17" t="s">
        <v>203</v>
      </c>
      <c r="N29" s="106">
        <v>846396116</v>
      </c>
      <c r="O29" s="24"/>
    </row>
    <row r="30" spans="1:15" s="12" customFormat="1" ht="78.75" x14ac:dyDescent="0.25">
      <c r="A30" s="4">
        <v>15</v>
      </c>
      <c r="B30" s="103" t="s">
        <v>48</v>
      </c>
      <c r="C30" s="5">
        <v>1</v>
      </c>
      <c r="D30" s="66"/>
      <c r="E30" s="66"/>
      <c r="F30" s="66"/>
      <c r="G30" s="66">
        <v>1</v>
      </c>
      <c r="H30" s="109" t="s">
        <v>210</v>
      </c>
      <c r="I30" s="18"/>
      <c r="J30" s="83"/>
      <c r="K30" s="19" t="s">
        <v>192</v>
      </c>
      <c r="L30" s="107" t="s">
        <v>191</v>
      </c>
      <c r="M30" s="17" t="s">
        <v>208</v>
      </c>
      <c r="N30" s="106">
        <v>861825850</v>
      </c>
      <c r="O30" s="29"/>
    </row>
    <row r="31" spans="1:15" x14ac:dyDescent="0.25">
      <c r="A31" s="126">
        <v>27</v>
      </c>
      <c r="B31" s="124"/>
      <c r="C31" s="127">
        <f>SUM(C16:C30)</f>
        <v>9</v>
      </c>
      <c r="D31" s="127">
        <f>SUM(D16:D30)</f>
        <v>2</v>
      </c>
      <c r="E31" s="127">
        <f>SUM(E16:E30)</f>
        <v>4</v>
      </c>
      <c r="F31" s="127">
        <f>SUM(F16:F30)</f>
        <v>7</v>
      </c>
      <c r="G31" s="127">
        <f>SUM(G16:G30)</f>
        <v>8</v>
      </c>
      <c r="H31" s="128"/>
      <c r="I31" s="129"/>
      <c r="J31" s="129"/>
      <c r="K31" s="130"/>
      <c r="L31" s="131"/>
      <c r="M31" s="124"/>
      <c r="N31" s="132"/>
      <c r="O31" s="133"/>
    </row>
    <row r="32" spans="1:15" s="125" customFormat="1" ht="16.5" thickBot="1" x14ac:dyDescent="0.3">
      <c r="A32" s="135"/>
      <c r="B32" s="135"/>
      <c r="C32" s="330">
        <f>C31+D31+E31</f>
        <v>15</v>
      </c>
      <c r="D32" s="331"/>
      <c r="E32" s="332"/>
      <c r="F32" s="330">
        <f>F31+G31</f>
        <v>15</v>
      </c>
      <c r="G32" s="333"/>
      <c r="H32" s="136"/>
      <c r="I32" s="134"/>
      <c r="J32" s="134"/>
      <c r="K32" s="134"/>
      <c r="L32" s="134"/>
      <c r="M32" s="134"/>
      <c r="N32" s="134"/>
      <c r="O32" s="134"/>
    </row>
    <row r="33" spans="1:15" x14ac:dyDescent="0.25">
      <c r="A33" s="329" t="s">
        <v>20</v>
      </c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</row>
    <row r="34" spans="1:15" x14ac:dyDescent="0.25">
      <c r="A34" s="325" t="s">
        <v>24</v>
      </c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</row>
    <row r="35" spans="1:15" x14ac:dyDescent="0.25">
      <c r="A35" s="325" t="s">
        <v>25</v>
      </c>
      <c r="B35" s="325"/>
      <c r="C35" s="325"/>
      <c r="D35" s="325"/>
      <c r="E35" s="325"/>
      <c r="F35" s="325"/>
      <c r="G35" s="325"/>
      <c r="H35" s="325"/>
      <c r="I35" s="325"/>
      <c r="J35" s="325"/>
      <c r="K35" s="325"/>
      <c r="L35" s="325"/>
      <c r="M35" s="325"/>
      <c r="N35" s="325"/>
      <c r="O35" s="325"/>
    </row>
    <row r="37" spans="1:15" x14ac:dyDescent="0.25">
      <c r="E37" s="137"/>
    </row>
  </sheetData>
  <mergeCells count="25">
    <mergeCell ref="A35:O35"/>
    <mergeCell ref="C32:E32"/>
    <mergeCell ref="F32:G32"/>
    <mergeCell ref="K14:K15"/>
    <mergeCell ref="L14:L15"/>
    <mergeCell ref="M14:M15"/>
    <mergeCell ref="N14:O14"/>
    <mergeCell ref="A33:O33"/>
    <mergeCell ref="A34:O34"/>
    <mergeCell ref="A11:O11"/>
    <mergeCell ref="A12:O12"/>
    <mergeCell ref="A13:O13"/>
    <mergeCell ref="A14:A15"/>
    <mergeCell ref="B14:B15"/>
    <mergeCell ref="C14:E14"/>
    <mergeCell ref="F14:G14"/>
    <mergeCell ref="H14:H15"/>
    <mergeCell ref="I14:I15"/>
    <mergeCell ref="J14:J15"/>
    <mergeCell ref="A10:O10"/>
    <mergeCell ref="A1:O5"/>
    <mergeCell ref="A6:O6"/>
    <mergeCell ref="A7:O7"/>
    <mergeCell ref="A8:O8"/>
    <mergeCell ref="A9:O9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6"/>
  <sheetViews>
    <sheetView topLeftCell="A32" workbookViewId="0">
      <selection activeCell="A33" sqref="A33:XFD41"/>
    </sheetView>
  </sheetViews>
  <sheetFormatPr defaultRowHeight="15.75" x14ac:dyDescent="0.25"/>
  <cols>
    <col min="1" max="1" width="5.42578125" style="38" customWidth="1"/>
    <col min="2" max="2" width="39.85546875" style="11" customWidth="1"/>
    <col min="3" max="3" width="9.85546875" style="11" customWidth="1"/>
    <col min="4" max="4" width="8.42578125" style="11" customWidth="1"/>
    <col min="5" max="5" width="12.85546875" style="11" customWidth="1"/>
    <col min="6" max="6" width="14.28515625" style="11" customWidth="1"/>
    <col min="7" max="7" width="19.140625" style="11" customWidth="1"/>
    <col min="8" max="8" width="36.140625" style="11" customWidth="1"/>
    <col min="9" max="10" width="20" style="11" customWidth="1"/>
    <col min="11" max="11" width="18.85546875" style="11" customWidth="1"/>
    <col min="12" max="12" width="20.85546875" style="39" customWidth="1"/>
    <col min="13" max="13" width="20" style="11" customWidth="1"/>
    <col min="14" max="14" width="16.7109375" style="11" customWidth="1"/>
    <col min="15" max="15" width="27" style="40" customWidth="1"/>
    <col min="16" max="16384" width="9.140625" style="11"/>
  </cols>
  <sheetData>
    <row r="1" spans="1:15" s="10" customFormat="1" x14ac:dyDescent="0.25">
      <c r="A1" s="309"/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</row>
    <row r="2" spans="1:15" s="10" customFormat="1" x14ac:dyDescent="0.25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</row>
    <row r="3" spans="1:15" s="10" customFormat="1" x14ac:dyDescent="0.25">
      <c r="A3" s="309"/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</row>
    <row r="4" spans="1:15" s="10" customFormat="1" x14ac:dyDescent="0.25">
      <c r="A4" s="309"/>
      <c r="B4" s="30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</row>
    <row r="5" spans="1:15" s="10" customFormat="1" x14ac:dyDescent="0.25">
      <c r="A5" s="309"/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</row>
    <row r="6" spans="1:15" s="10" customFormat="1" x14ac:dyDescent="0.25">
      <c r="A6" s="310" t="s">
        <v>0</v>
      </c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</row>
    <row r="7" spans="1:15" s="10" customFormat="1" x14ac:dyDescent="0.25">
      <c r="A7" s="308" t="s">
        <v>81</v>
      </c>
      <c r="B7" s="308"/>
      <c r="C7" s="308"/>
      <c r="D7" s="308"/>
      <c r="E7" s="308"/>
      <c r="F7" s="308"/>
      <c r="G7" s="308"/>
      <c r="H7" s="308"/>
      <c r="I7" s="308"/>
      <c r="J7" s="308"/>
      <c r="K7" s="308"/>
      <c r="L7" s="308"/>
      <c r="M7" s="308"/>
      <c r="N7" s="308"/>
      <c r="O7" s="308"/>
    </row>
    <row r="8" spans="1:15" s="10" customFormat="1" x14ac:dyDescent="0.25">
      <c r="A8" s="308" t="s">
        <v>82</v>
      </c>
      <c r="B8" s="308"/>
      <c r="C8" s="308"/>
      <c r="D8" s="308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</row>
    <row r="9" spans="1:15" s="10" customFormat="1" x14ac:dyDescent="0.25">
      <c r="A9" s="308"/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</row>
    <row r="10" spans="1:15" s="10" customFormat="1" x14ac:dyDescent="0.25">
      <c r="A10" s="308"/>
      <c r="B10" s="308"/>
      <c r="C10" s="308"/>
      <c r="D10" s="308"/>
      <c r="E10" s="308"/>
      <c r="F10" s="308"/>
      <c r="G10" s="308"/>
      <c r="H10" s="308"/>
      <c r="I10" s="308"/>
      <c r="J10" s="308"/>
      <c r="K10" s="308"/>
      <c r="L10" s="308"/>
      <c r="M10" s="308"/>
      <c r="N10" s="308"/>
      <c r="O10" s="308"/>
    </row>
    <row r="11" spans="1:15" ht="15.75" customHeight="1" x14ac:dyDescent="0.25">
      <c r="A11" s="311"/>
      <c r="B11" s="311"/>
      <c r="C11" s="311"/>
      <c r="D11" s="311"/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</row>
    <row r="12" spans="1:15" x14ac:dyDescent="0.25">
      <c r="A12" s="312" t="s">
        <v>212</v>
      </c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2"/>
      <c r="N12" s="312"/>
      <c r="O12" s="312"/>
    </row>
    <row r="13" spans="1:15" ht="16.5" thickBot="1" x14ac:dyDescent="0.3">
      <c r="A13" s="313" t="s">
        <v>1</v>
      </c>
      <c r="B13" s="313"/>
      <c r="C13" s="313"/>
      <c r="D13" s="313"/>
      <c r="E13" s="313"/>
      <c r="F13" s="313"/>
      <c r="G13" s="313"/>
      <c r="H13" s="313"/>
      <c r="I13" s="313"/>
      <c r="J13" s="313"/>
      <c r="K13" s="313"/>
      <c r="L13" s="313"/>
      <c r="M13" s="313"/>
      <c r="N13" s="313"/>
      <c r="O13" s="313"/>
    </row>
    <row r="14" spans="1:15" s="12" customFormat="1" ht="16.5" thickBot="1" x14ac:dyDescent="0.3">
      <c r="A14" s="314" t="s">
        <v>2</v>
      </c>
      <c r="B14" s="316" t="s">
        <v>3</v>
      </c>
      <c r="C14" s="318" t="s">
        <v>4</v>
      </c>
      <c r="D14" s="319"/>
      <c r="E14" s="320"/>
      <c r="F14" s="321" t="s">
        <v>5</v>
      </c>
      <c r="G14" s="322"/>
      <c r="H14" s="323" t="s">
        <v>6</v>
      </c>
      <c r="I14" s="323" t="s">
        <v>7</v>
      </c>
      <c r="J14" s="323" t="s">
        <v>8</v>
      </c>
      <c r="K14" s="316" t="s">
        <v>9</v>
      </c>
      <c r="L14" s="323" t="s">
        <v>10</v>
      </c>
      <c r="M14" s="323" t="s">
        <v>11</v>
      </c>
      <c r="N14" s="321" t="s">
        <v>12</v>
      </c>
      <c r="O14" s="328"/>
    </row>
    <row r="15" spans="1:15" s="12" customFormat="1" ht="16.5" thickBot="1" x14ac:dyDescent="0.3">
      <c r="A15" s="315"/>
      <c r="B15" s="317"/>
      <c r="C15" s="46" t="s">
        <v>13</v>
      </c>
      <c r="D15" s="45" t="s">
        <v>14</v>
      </c>
      <c r="E15" s="45" t="s">
        <v>15</v>
      </c>
      <c r="F15" s="64" t="s">
        <v>16</v>
      </c>
      <c r="G15" s="63" t="s">
        <v>17</v>
      </c>
      <c r="H15" s="327"/>
      <c r="I15" s="327"/>
      <c r="J15" s="327"/>
      <c r="K15" s="326"/>
      <c r="L15" s="327"/>
      <c r="M15" s="327"/>
      <c r="N15" s="48" t="s">
        <v>18</v>
      </c>
      <c r="O15" s="45" t="s">
        <v>19</v>
      </c>
    </row>
    <row r="16" spans="1:15" ht="78.75" x14ac:dyDescent="0.25">
      <c r="A16" s="1">
        <v>1</v>
      </c>
      <c r="B16" s="13" t="s">
        <v>30</v>
      </c>
      <c r="C16" s="90">
        <v>1</v>
      </c>
      <c r="D16" s="2"/>
      <c r="E16" s="2"/>
      <c r="F16" s="2"/>
      <c r="G16" s="2">
        <v>1</v>
      </c>
      <c r="H16" s="91" t="s">
        <v>227</v>
      </c>
      <c r="I16" s="111"/>
      <c r="J16" s="112"/>
      <c r="K16" s="14"/>
      <c r="L16" s="54" t="s">
        <v>243</v>
      </c>
      <c r="M16" s="14"/>
      <c r="N16" s="106"/>
      <c r="O16" s="16"/>
    </row>
    <row r="17" spans="1:15" s="12" customFormat="1" ht="47.25" x14ac:dyDescent="0.25">
      <c r="A17" s="4">
        <v>2</v>
      </c>
      <c r="B17" s="13" t="s">
        <v>34</v>
      </c>
      <c r="C17" s="5"/>
      <c r="D17" s="5"/>
      <c r="E17" s="5"/>
      <c r="F17" s="5"/>
      <c r="G17" s="5"/>
      <c r="H17" s="43" t="s">
        <v>228</v>
      </c>
      <c r="I17" s="113"/>
      <c r="J17" s="114"/>
      <c r="K17" s="122"/>
      <c r="L17" s="18" t="s">
        <v>244</v>
      </c>
      <c r="M17" s="123"/>
      <c r="N17" s="106"/>
      <c r="O17" s="20"/>
    </row>
    <row r="18" spans="1:15" ht="31.5" x14ac:dyDescent="0.25">
      <c r="A18" s="4">
        <v>3</v>
      </c>
      <c r="B18" s="13" t="s">
        <v>215</v>
      </c>
      <c r="C18" s="5">
        <v>1</v>
      </c>
      <c r="D18" s="5"/>
      <c r="E18" s="5"/>
      <c r="F18" s="5"/>
      <c r="G18" s="5">
        <v>1</v>
      </c>
      <c r="H18" s="43" t="s">
        <v>229</v>
      </c>
      <c r="I18" s="72"/>
      <c r="J18" s="115"/>
      <c r="K18" s="17"/>
      <c r="L18" s="18" t="s">
        <v>244</v>
      </c>
      <c r="M18" s="17"/>
      <c r="N18" s="106"/>
      <c r="O18" s="20"/>
    </row>
    <row r="19" spans="1:15" ht="32.25" thickBot="1" x14ac:dyDescent="0.3">
      <c r="A19" s="4">
        <v>4</v>
      </c>
      <c r="B19" s="13" t="s">
        <v>216</v>
      </c>
      <c r="C19" s="5">
        <v>1</v>
      </c>
      <c r="D19" s="5"/>
      <c r="E19" s="5"/>
      <c r="F19" s="5"/>
      <c r="G19" s="5">
        <v>1</v>
      </c>
      <c r="H19" s="92" t="s">
        <v>230</v>
      </c>
      <c r="I19" s="72"/>
      <c r="J19" s="115"/>
      <c r="K19" s="17"/>
      <c r="L19" s="114" t="s">
        <v>244</v>
      </c>
      <c r="M19" s="17"/>
      <c r="N19" s="106"/>
      <c r="O19" s="22"/>
    </row>
    <row r="20" spans="1:15" ht="63" x14ac:dyDescent="0.25">
      <c r="A20" s="1">
        <v>5</v>
      </c>
      <c r="B20" s="13" t="s">
        <v>217</v>
      </c>
      <c r="C20" s="5">
        <v>1</v>
      </c>
      <c r="D20" s="5"/>
      <c r="E20" s="5"/>
      <c r="F20" s="5"/>
      <c r="G20" s="5">
        <v>1</v>
      </c>
      <c r="H20" s="93" t="s">
        <v>231</v>
      </c>
      <c r="I20" s="72"/>
      <c r="J20" s="115"/>
      <c r="K20" s="17"/>
      <c r="L20" s="116" t="s">
        <v>254</v>
      </c>
      <c r="M20" s="116"/>
      <c r="N20" s="106"/>
      <c r="O20" s="22"/>
    </row>
    <row r="21" spans="1:15" ht="31.5" x14ac:dyDescent="0.25">
      <c r="A21" s="4">
        <v>6</v>
      </c>
      <c r="B21" s="52" t="s">
        <v>218</v>
      </c>
      <c r="C21" s="5">
        <v>1</v>
      </c>
      <c r="D21" s="5"/>
      <c r="E21" s="5"/>
      <c r="F21" s="5"/>
      <c r="G21" s="5">
        <v>1</v>
      </c>
      <c r="H21" s="43" t="s">
        <v>232</v>
      </c>
      <c r="I21" s="72"/>
      <c r="J21" s="115"/>
      <c r="K21" s="17"/>
      <c r="L21" s="116" t="s">
        <v>245</v>
      </c>
      <c r="M21" s="17"/>
      <c r="N21" s="106"/>
      <c r="O21" s="22"/>
    </row>
    <row r="22" spans="1:15" s="306" customFormat="1" ht="16.5" x14ac:dyDescent="0.25">
      <c r="A22" s="297">
        <v>7</v>
      </c>
      <c r="B22" s="298" t="s">
        <v>150</v>
      </c>
      <c r="C22" s="299">
        <v>1</v>
      </c>
      <c r="D22" s="299"/>
      <c r="E22" s="299"/>
      <c r="F22" s="299"/>
      <c r="G22" s="299">
        <v>1</v>
      </c>
      <c r="H22" s="300" t="s">
        <v>233</v>
      </c>
      <c r="I22" s="301"/>
      <c r="J22" s="302"/>
      <c r="K22" s="303"/>
      <c r="L22" s="303" t="s">
        <v>246</v>
      </c>
      <c r="M22" s="303"/>
      <c r="N22" s="304"/>
      <c r="O22" s="305"/>
    </row>
    <row r="23" spans="1:15" ht="32.25" thickBot="1" x14ac:dyDescent="0.3">
      <c r="A23" s="4">
        <v>8</v>
      </c>
      <c r="B23" s="13" t="s">
        <v>219</v>
      </c>
      <c r="C23" s="5">
        <v>1</v>
      </c>
      <c r="D23" s="5"/>
      <c r="E23" s="5"/>
      <c r="F23" s="5"/>
      <c r="G23" s="5">
        <v>1</v>
      </c>
      <c r="H23" s="54" t="s">
        <v>234</v>
      </c>
      <c r="I23" s="72"/>
      <c r="J23" s="115"/>
      <c r="K23" s="17"/>
      <c r="L23" s="116" t="s">
        <v>244</v>
      </c>
      <c r="M23" s="23"/>
      <c r="N23" s="106"/>
      <c r="O23" s="20"/>
    </row>
    <row r="24" spans="1:15" ht="16.5" x14ac:dyDescent="0.25">
      <c r="A24" s="1">
        <v>9</v>
      </c>
      <c r="B24" s="13" t="s">
        <v>34</v>
      </c>
      <c r="C24" s="5"/>
      <c r="D24" s="5"/>
      <c r="E24" s="5"/>
      <c r="F24" s="5"/>
      <c r="G24" s="5"/>
      <c r="H24" s="41" t="s">
        <v>235</v>
      </c>
      <c r="I24" s="72"/>
      <c r="J24" s="115"/>
      <c r="K24" s="17"/>
      <c r="L24" s="119" t="s">
        <v>247</v>
      </c>
      <c r="M24" s="17"/>
      <c r="N24" s="106"/>
      <c r="O24" s="25"/>
    </row>
    <row r="25" spans="1:15" ht="16.5" x14ac:dyDescent="0.25">
      <c r="A25" s="4">
        <v>10</v>
      </c>
      <c r="B25" s="110" t="s">
        <v>220</v>
      </c>
      <c r="C25" s="5">
        <v>1</v>
      </c>
      <c r="D25" s="5"/>
      <c r="E25" s="5"/>
      <c r="F25" s="5">
        <v>1</v>
      </c>
      <c r="G25" s="5"/>
      <c r="H25" s="91" t="s">
        <v>236</v>
      </c>
      <c r="I25" s="72"/>
      <c r="J25" s="115"/>
      <c r="K25" s="17"/>
      <c r="L25" s="116" t="s">
        <v>253</v>
      </c>
      <c r="M25" s="17"/>
      <c r="N25" s="106"/>
      <c r="O25" s="26"/>
    </row>
    <row r="26" spans="1:15" s="12" customFormat="1" ht="31.5" x14ac:dyDescent="0.25">
      <c r="A26" s="4">
        <v>11</v>
      </c>
      <c r="B26" s="13" t="s">
        <v>221</v>
      </c>
      <c r="C26" s="5">
        <v>1</v>
      </c>
      <c r="D26" s="5"/>
      <c r="E26" s="5"/>
      <c r="F26" s="5"/>
      <c r="G26" s="5">
        <v>1</v>
      </c>
      <c r="H26" s="41" t="s">
        <v>237</v>
      </c>
      <c r="I26" s="113"/>
      <c r="J26" s="117"/>
      <c r="K26" s="17"/>
      <c r="L26" s="120" t="s">
        <v>248</v>
      </c>
      <c r="M26" s="23"/>
      <c r="N26" s="106"/>
      <c r="O26" s="28"/>
    </row>
    <row r="27" spans="1:15" s="12" customFormat="1" ht="48" thickBot="1" x14ac:dyDescent="0.3">
      <c r="A27" s="4">
        <v>12</v>
      </c>
      <c r="B27" s="110" t="s">
        <v>222</v>
      </c>
      <c r="C27" s="5">
        <v>1</v>
      </c>
      <c r="D27" s="5"/>
      <c r="E27" s="5"/>
      <c r="F27" s="5"/>
      <c r="G27" s="5">
        <v>1</v>
      </c>
      <c r="H27" s="91" t="s">
        <v>238</v>
      </c>
      <c r="I27" s="113"/>
      <c r="J27" s="117"/>
      <c r="K27" s="17"/>
      <c r="L27" s="116" t="s">
        <v>249</v>
      </c>
      <c r="M27" s="17"/>
      <c r="N27" s="106"/>
      <c r="O27" s="24"/>
    </row>
    <row r="28" spans="1:15" ht="36.75" customHeight="1" x14ac:dyDescent="0.25">
      <c r="A28" s="1">
        <v>13</v>
      </c>
      <c r="B28" s="69" t="s">
        <v>223</v>
      </c>
      <c r="C28" s="5">
        <v>1</v>
      </c>
      <c r="D28" s="5"/>
      <c r="E28" s="5"/>
      <c r="F28" s="5"/>
      <c r="G28" s="5">
        <v>1</v>
      </c>
      <c r="H28" s="93" t="s">
        <v>239</v>
      </c>
      <c r="I28" s="72"/>
      <c r="J28" s="115"/>
      <c r="K28" s="17"/>
      <c r="L28" s="116" t="s">
        <v>244</v>
      </c>
      <c r="M28" s="17"/>
      <c r="N28" s="106"/>
      <c r="O28" s="24"/>
    </row>
    <row r="29" spans="1:15" s="12" customFormat="1" ht="63" x14ac:dyDescent="0.25">
      <c r="A29" s="4">
        <v>14</v>
      </c>
      <c r="B29" s="13" t="s">
        <v>56</v>
      </c>
      <c r="C29" s="5">
        <v>1</v>
      </c>
      <c r="D29" s="5"/>
      <c r="E29" s="5"/>
      <c r="F29" s="5">
        <v>1</v>
      </c>
      <c r="G29" s="5"/>
      <c r="H29" s="41" t="s">
        <v>240</v>
      </c>
      <c r="I29" s="113"/>
      <c r="J29" s="117"/>
      <c r="K29" s="17"/>
      <c r="L29" s="114" t="s">
        <v>250</v>
      </c>
      <c r="M29" s="17"/>
      <c r="N29" s="106"/>
      <c r="O29" s="24"/>
    </row>
    <row r="30" spans="1:15" s="12" customFormat="1" ht="63" x14ac:dyDescent="0.25">
      <c r="A30" s="4">
        <v>15</v>
      </c>
      <c r="B30" s="13" t="s">
        <v>224</v>
      </c>
      <c r="C30" s="5"/>
      <c r="D30" s="66">
        <v>1</v>
      </c>
      <c r="E30" s="66"/>
      <c r="F30" s="66">
        <v>1</v>
      </c>
      <c r="G30" s="66"/>
      <c r="H30" s="41" t="s">
        <v>240</v>
      </c>
      <c r="I30" s="116"/>
      <c r="J30" s="114"/>
      <c r="K30" s="17"/>
      <c r="L30" s="121" t="s">
        <v>251</v>
      </c>
      <c r="M30" s="17"/>
      <c r="N30" s="106"/>
      <c r="O30" s="29"/>
    </row>
    <row r="31" spans="1:15" s="12" customFormat="1" ht="48" thickBot="1" x14ac:dyDescent="0.3">
      <c r="A31" s="4">
        <v>16</v>
      </c>
      <c r="B31" s="69" t="s">
        <v>225</v>
      </c>
      <c r="C31" s="5"/>
      <c r="D31" s="5"/>
      <c r="E31" s="5"/>
      <c r="F31" s="5"/>
      <c r="G31" s="5"/>
      <c r="H31" s="41" t="s">
        <v>242</v>
      </c>
      <c r="I31" s="113"/>
      <c r="J31" s="117"/>
      <c r="K31" s="118"/>
      <c r="L31" s="120" t="s">
        <v>189</v>
      </c>
      <c r="M31" s="17"/>
      <c r="N31" s="19"/>
      <c r="O31" s="24"/>
    </row>
    <row r="32" spans="1:15" ht="47.25" x14ac:dyDescent="0.25">
      <c r="A32" s="1">
        <v>17</v>
      </c>
      <c r="B32" s="70" t="s">
        <v>226</v>
      </c>
      <c r="C32" s="5">
        <v>1</v>
      </c>
      <c r="D32" s="5"/>
      <c r="E32" s="5"/>
      <c r="F32" s="5"/>
      <c r="G32" s="5">
        <v>1</v>
      </c>
      <c r="H32" s="53" t="s">
        <v>241</v>
      </c>
      <c r="I32" s="72"/>
      <c r="J32" s="115"/>
      <c r="K32" s="17"/>
      <c r="L32" s="116" t="s">
        <v>252</v>
      </c>
      <c r="M32" s="17"/>
      <c r="N32" s="19"/>
      <c r="O32" s="24"/>
    </row>
    <row r="33" spans="1:15" ht="16.5" thickBot="1" x14ac:dyDescent="0.3">
      <c r="A33" s="4">
        <v>27</v>
      </c>
      <c r="B33" s="33"/>
      <c r="C33" s="8">
        <f>SUM(C16:C32)</f>
        <v>13</v>
      </c>
      <c r="D33" s="8">
        <f>SUM(D16:D32)</f>
        <v>1</v>
      </c>
      <c r="E33" s="8">
        <f>SUM(E16:E32)</f>
        <v>0</v>
      </c>
      <c r="F33" s="8">
        <f>SUM(F16:F32)</f>
        <v>3</v>
      </c>
      <c r="G33" s="8">
        <f>SUM(G16:G32)</f>
        <v>11</v>
      </c>
      <c r="H33" s="34"/>
      <c r="I33" s="9"/>
      <c r="J33" s="9"/>
      <c r="K33" s="88"/>
      <c r="L33" s="35"/>
      <c r="M33" s="33"/>
      <c r="N33" s="36"/>
      <c r="O33" s="37"/>
    </row>
    <row r="34" spans="1:15" x14ac:dyDescent="0.25">
      <c r="A34" s="329" t="s">
        <v>20</v>
      </c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</row>
    <row r="35" spans="1:15" x14ac:dyDescent="0.25">
      <c r="A35" s="325" t="s">
        <v>24</v>
      </c>
      <c r="B35" s="325"/>
      <c r="C35" s="325"/>
      <c r="D35" s="325"/>
      <c r="E35" s="325"/>
      <c r="F35" s="325"/>
      <c r="G35" s="325"/>
      <c r="H35" s="325"/>
      <c r="I35" s="325"/>
      <c r="J35" s="325"/>
      <c r="K35" s="325"/>
      <c r="L35" s="325"/>
      <c r="M35" s="325"/>
      <c r="N35" s="325"/>
      <c r="O35" s="325"/>
    </row>
    <row r="36" spans="1:15" x14ac:dyDescent="0.25">
      <c r="A36" s="325" t="s">
        <v>25</v>
      </c>
      <c r="B36" s="325"/>
      <c r="C36" s="325"/>
      <c r="D36" s="325"/>
      <c r="E36" s="325"/>
      <c r="F36" s="325"/>
      <c r="G36" s="325"/>
      <c r="H36" s="325"/>
      <c r="I36" s="325"/>
      <c r="J36" s="325"/>
      <c r="K36" s="325"/>
      <c r="L36" s="325"/>
      <c r="M36" s="325"/>
      <c r="N36" s="325"/>
      <c r="O36" s="325"/>
    </row>
  </sheetData>
  <mergeCells count="23">
    <mergeCell ref="A36:O36"/>
    <mergeCell ref="K14:K15"/>
    <mergeCell ref="L14:L15"/>
    <mergeCell ref="M14:M15"/>
    <mergeCell ref="N14:O14"/>
    <mergeCell ref="A34:O34"/>
    <mergeCell ref="A35:O35"/>
    <mergeCell ref="A11:O11"/>
    <mergeCell ref="A12:O12"/>
    <mergeCell ref="A13:O13"/>
    <mergeCell ref="A14:A15"/>
    <mergeCell ref="B14:B15"/>
    <mergeCell ref="C14:E14"/>
    <mergeCell ref="F14:G14"/>
    <mergeCell ref="H14:H15"/>
    <mergeCell ref="I14:I15"/>
    <mergeCell ref="J14:J15"/>
    <mergeCell ref="A10:O10"/>
    <mergeCell ref="A1:O5"/>
    <mergeCell ref="A6:O6"/>
    <mergeCell ref="A7:O7"/>
    <mergeCell ref="A8:O8"/>
    <mergeCell ref="A9:O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1"/>
  <sheetViews>
    <sheetView topLeftCell="A21" workbookViewId="0">
      <selection activeCell="B47" sqref="B16:B47"/>
    </sheetView>
  </sheetViews>
  <sheetFormatPr defaultRowHeight="15.75" x14ac:dyDescent="0.25"/>
  <cols>
    <col min="1" max="1" width="5.42578125" style="102" customWidth="1"/>
    <col min="2" max="2" width="39.85546875" style="11" customWidth="1"/>
    <col min="3" max="3" width="9.85546875" style="11" customWidth="1"/>
    <col min="4" max="4" width="8.42578125" style="11" customWidth="1"/>
    <col min="5" max="5" width="12.85546875" style="11" customWidth="1"/>
    <col min="6" max="6" width="14.28515625" style="11" customWidth="1"/>
    <col min="7" max="7" width="19.140625" style="11" customWidth="1"/>
    <col min="8" max="8" width="36.140625" style="11" customWidth="1"/>
    <col min="9" max="10" width="20" style="11" customWidth="1"/>
    <col min="11" max="11" width="18.85546875" style="11" customWidth="1"/>
    <col min="12" max="12" width="20.85546875" style="39" customWidth="1"/>
    <col min="13" max="13" width="20" style="11" customWidth="1"/>
    <col min="14" max="14" width="16.7109375" style="11" customWidth="1"/>
    <col min="15" max="15" width="27" style="40" customWidth="1"/>
    <col min="16" max="16384" width="9.140625" style="11"/>
  </cols>
  <sheetData>
    <row r="1" spans="1:15" s="10" customFormat="1" x14ac:dyDescent="0.25">
      <c r="A1" s="309"/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</row>
    <row r="2" spans="1:15" s="10" customFormat="1" x14ac:dyDescent="0.25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</row>
    <row r="3" spans="1:15" s="10" customFormat="1" x14ac:dyDescent="0.25">
      <c r="A3" s="309"/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</row>
    <row r="4" spans="1:15" s="10" customFormat="1" x14ac:dyDescent="0.25">
      <c r="A4" s="309"/>
      <c r="B4" s="30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</row>
    <row r="5" spans="1:15" s="10" customFormat="1" x14ac:dyDescent="0.25">
      <c r="A5" s="309"/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</row>
    <row r="6" spans="1:15" s="10" customFormat="1" x14ac:dyDescent="0.25">
      <c r="A6" s="310" t="s">
        <v>0</v>
      </c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</row>
    <row r="7" spans="1:15" s="10" customFormat="1" x14ac:dyDescent="0.25">
      <c r="A7" s="308" t="s">
        <v>81</v>
      </c>
      <c r="B7" s="308"/>
      <c r="C7" s="308"/>
      <c r="D7" s="308"/>
      <c r="E7" s="308"/>
      <c r="F7" s="308"/>
      <c r="G7" s="308"/>
      <c r="H7" s="308"/>
      <c r="I7" s="308"/>
      <c r="J7" s="308"/>
      <c r="K7" s="308"/>
      <c r="L7" s="308"/>
      <c r="M7" s="308"/>
      <c r="N7" s="308"/>
      <c r="O7" s="308"/>
    </row>
    <row r="8" spans="1:15" s="10" customFormat="1" x14ac:dyDescent="0.25">
      <c r="A8" s="308" t="s">
        <v>82</v>
      </c>
      <c r="B8" s="308"/>
      <c r="C8" s="308"/>
      <c r="D8" s="308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</row>
    <row r="9" spans="1:15" s="10" customFormat="1" x14ac:dyDescent="0.25">
      <c r="A9" s="308"/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</row>
    <row r="10" spans="1:15" s="10" customFormat="1" x14ac:dyDescent="0.25">
      <c r="A10" s="308"/>
      <c r="B10" s="308"/>
      <c r="C10" s="308"/>
      <c r="D10" s="308"/>
      <c r="E10" s="308"/>
      <c r="F10" s="308"/>
      <c r="G10" s="308"/>
      <c r="H10" s="308"/>
      <c r="I10" s="308"/>
      <c r="J10" s="308"/>
      <c r="K10" s="308"/>
      <c r="L10" s="308"/>
      <c r="M10" s="308"/>
      <c r="N10" s="308"/>
      <c r="O10" s="308"/>
    </row>
    <row r="11" spans="1:15" ht="15.75" customHeight="1" x14ac:dyDescent="0.25">
      <c r="A11" s="311"/>
      <c r="B11" s="311"/>
      <c r="C11" s="311"/>
      <c r="D11" s="311"/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</row>
    <row r="12" spans="1:15" x14ac:dyDescent="0.25">
      <c r="A12" s="312" t="s">
        <v>311</v>
      </c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2"/>
      <c r="N12" s="312"/>
      <c r="O12" s="312"/>
    </row>
    <row r="13" spans="1:15" ht="16.5" thickBot="1" x14ac:dyDescent="0.3">
      <c r="A13" s="313" t="s">
        <v>312</v>
      </c>
      <c r="B13" s="313"/>
      <c r="C13" s="313"/>
      <c r="D13" s="313"/>
      <c r="E13" s="313"/>
      <c r="F13" s="313"/>
      <c r="G13" s="313"/>
      <c r="H13" s="313"/>
      <c r="I13" s="313"/>
      <c r="J13" s="313"/>
      <c r="K13" s="313"/>
      <c r="L13" s="313"/>
      <c r="M13" s="313"/>
      <c r="N13" s="313"/>
      <c r="O13" s="313"/>
    </row>
    <row r="14" spans="1:15" s="12" customFormat="1" ht="16.5" thickBot="1" x14ac:dyDescent="0.3">
      <c r="A14" s="334" t="s">
        <v>2</v>
      </c>
      <c r="B14" s="335" t="s">
        <v>3</v>
      </c>
      <c r="C14" s="318" t="s">
        <v>4</v>
      </c>
      <c r="D14" s="319"/>
      <c r="E14" s="320"/>
      <c r="F14" s="321" t="s">
        <v>5</v>
      </c>
      <c r="G14" s="322"/>
      <c r="H14" s="323" t="s">
        <v>6</v>
      </c>
      <c r="I14" s="323" t="s">
        <v>7</v>
      </c>
      <c r="J14" s="323" t="s">
        <v>8</v>
      </c>
      <c r="K14" s="316" t="s">
        <v>9</v>
      </c>
      <c r="L14" s="323" t="s">
        <v>10</v>
      </c>
      <c r="M14" s="323" t="s">
        <v>11</v>
      </c>
      <c r="N14" s="321" t="s">
        <v>12</v>
      </c>
      <c r="O14" s="328"/>
    </row>
    <row r="15" spans="1:15" s="12" customFormat="1" ht="16.5" thickBot="1" x14ac:dyDescent="0.3">
      <c r="A15" s="334"/>
      <c r="B15" s="336"/>
      <c r="C15" s="46" t="s">
        <v>13</v>
      </c>
      <c r="D15" s="45" t="s">
        <v>14</v>
      </c>
      <c r="E15" s="45" t="s">
        <v>15</v>
      </c>
      <c r="F15" s="64" t="s">
        <v>16</v>
      </c>
      <c r="G15" s="63" t="s">
        <v>17</v>
      </c>
      <c r="H15" s="327"/>
      <c r="I15" s="327"/>
      <c r="J15" s="327"/>
      <c r="K15" s="317"/>
      <c r="L15" s="327"/>
      <c r="M15" s="327"/>
      <c r="N15" s="48" t="s">
        <v>18</v>
      </c>
      <c r="O15" s="45" t="s">
        <v>19</v>
      </c>
    </row>
    <row r="16" spans="1:15" ht="47.25" x14ac:dyDescent="0.25">
      <c r="A16" s="5">
        <v>1</v>
      </c>
      <c r="B16" s="80" t="s">
        <v>255</v>
      </c>
      <c r="C16" s="90"/>
      <c r="D16" s="2"/>
      <c r="E16" s="2">
        <v>1</v>
      </c>
      <c r="F16" s="2"/>
      <c r="G16" s="2">
        <v>1</v>
      </c>
      <c r="H16" s="164" t="s">
        <v>277</v>
      </c>
      <c r="I16" s="111"/>
      <c r="J16" s="112"/>
      <c r="K16" s="101" t="s">
        <v>310</v>
      </c>
      <c r="L16" s="32" t="s">
        <v>313</v>
      </c>
      <c r="M16" s="14" t="s">
        <v>335</v>
      </c>
      <c r="N16" s="106">
        <v>861448716</v>
      </c>
      <c r="O16" s="16"/>
    </row>
    <row r="17" spans="1:15" s="12" customFormat="1" ht="31.5" x14ac:dyDescent="0.25">
      <c r="A17" s="5">
        <v>2</v>
      </c>
      <c r="B17" s="156" t="s">
        <v>256</v>
      </c>
      <c r="C17" s="5"/>
      <c r="D17" s="5"/>
      <c r="E17" s="5">
        <v>1</v>
      </c>
      <c r="F17" s="5"/>
      <c r="G17" s="5">
        <v>1</v>
      </c>
      <c r="H17" s="163" t="s">
        <v>277</v>
      </c>
      <c r="I17" s="113"/>
      <c r="J17" s="114"/>
      <c r="K17" s="19" t="s">
        <v>310</v>
      </c>
      <c r="L17" s="18" t="s">
        <v>187</v>
      </c>
      <c r="M17" s="123" t="s">
        <v>336</v>
      </c>
      <c r="N17" s="106">
        <v>861716028</v>
      </c>
      <c r="O17" s="20"/>
    </row>
    <row r="18" spans="1:15" ht="31.5" x14ac:dyDescent="0.25">
      <c r="A18" s="5">
        <v>3</v>
      </c>
      <c r="B18" s="157" t="s">
        <v>257</v>
      </c>
      <c r="C18" s="5">
        <v>1</v>
      </c>
      <c r="D18" s="5"/>
      <c r="E18" s="5"/>
      <c r="F18" s="5"/>
      <c r="G18" s="5">
        <v>1</v>
      </c>
      <c r="H18" s="163" t="s">
        <v>278</v>
      </c>
      <c r="I18" s="72"/>
      <c r="J18" s="115"/>
      <c r="K18" s="19" t="s">
        <v>310</v>
      </c>
      <c r="L18" s="18" t="s">
        <v>314</v>
      </c>
      <c r="M18" s="113" t="s">
        <v>337</v>
      </c>
      <c r="N18" s="106">
        <v>876218390</v>
      </c>
      <c r="O18" s="20"/>
    </row>
    <row r="19" spans="1:15" ht="31.5" x14ac:dyDescent="0.25">
      <c r="A19" s="5">
        <v>6</v>
      </c>
      <c r="B19" s="158" t="s">
        <v>258</v>
      </c>
      <c r="C19" s="5">
        <v>1</v>
      </c>
      <c r="D19" s="5"/>
      <c r="E19" s="5"/>
      <c r="F19" s="5"/>
      <c r="G19" s="5">
        <v>1</v>
      </c>
      <c r="H19" s="171" t="s">
        <v>278</v>
      </c>
      <c r="I19" s="72"/>
      <c r="J19" s="115"/>
      <c r="K19" s="19" t="s">
        <v>310</v>
      </c>
      <c r="L19" s="116" t="s">
        <v>187</v>
      </c>
      <c r="M19" s="17"/>
      <c r="N19" s="106"/>
      <c r="O19" s="22"/>
    </row>
    <row r="20" spans="1:15" ht="31.5" x14ac:dyDescent="0.25">
      <c r="A20" s="5">
        <v>7</v>
      </c>
      <c r="B20" s="159" t="s">
        <v>85</v>
      </c>
      <c r="C20" s="5">
        <v>1</v>
      </c>
      <c r="D20" s="5"/>
      <c r="E20" s="5"/>
      <c r="F20" s="5"/>
      <c r="G20" s="170">
        <v>1</v>
      </c>
      <c r="H20" s="161" t="s">
        <v>279</v>
      </c>
      <c r="I20" s="96"/>
      <c r="J20" s="115"/>
      <c r="K20" s="19" t="s">
        <v>310</v>
      </c>
      <c r="L20" s="116" t="s">
        <v>187</v>
      </c>
      <c r="M20" s="17"/>
      <c r="N20" s="106"/>
      <c r="O20" s="22"/>
    </row>
    <row r="21" spans="1:15" ht="94.5" x14ac:dyDescent="0.25">
      <c r="A21" s="5">
        <v>8</v>
      </c>
      <c r="B21" s="80" t="s">
        <v>259</v>
      </c>
      <c r="C21" s="5">
        <v>1</v>
      </c>
      <c r="D21" s="5"/>
      <c r="E21" s="5"/>
      <c r="F21" s="5"/>
      <c r="G21" s="5">
        <v>1</v>
      </c>
      <c r="H21" s="162" t="s">
        <v>280</v>
      </c>
      <c r="I21" s="72"/>
      <c r="J21" s="115"/>
      <c r="K21" s="19" t="s">
        <v>310</v>
      </c>
      <c r="L21" s="116" t="s">
        <v>315</v>
      </c>
      <c r="M21" s="23"/>
      <c r="N21" s="106"/>
      <c r="O21" s="20"/>
    </row>
    <row r="22" spans="1:15" ht="31.5" x14ac:dyDescent="0.25">
      <c r="A22" s="5">
        <v>9</v>
      </c>
      <c r="B22" s="142" t="s">
        <v>260</v>
      </c>
      <c r="C22" s="5">
        <v>1</v>
      </c>
      <c r="D22" s="5"/>
      <c r="E22" s="5"/>
      <c r="F22" s="5"/>
      <c r="G22" s="5">
        <v>1</v>
      </c>
      <c r="H22" s="161" t="s">
        <v>281</v>
      </c>
      <c r="I22" s="72"/>
      <c r="J22" s="115"/>
      <c r="K22" s="19" t="s">
        <v>310</v>
      </c>
      <c r="L22" s="119" t="s">
        <v>187</v>
      </c>
      <c r="M22" s="17"/>
      <c r="N22" s="106">
        <v>865105787</v>
      </c>
      <c r="O22" s="25"/>
    </row>
    <row r="23" spans="1:15" ht="94.5" x14ac:dyDescent="0.25">
      <c r="A23" s="5">
        <v>10</v>
      </c>
      <c r="B23" s="143" t="s">
        <v>83</v>
      </c>
      <c r="C23" s="5">
        <v>1</v>
      </c>
      <c r="D23" s="5"/>
      <c r="E23" s="5"/>
      <c r="F23" s="5"/>
      <c r="G23" s="5">
        <v>1</v>
      </c>
      <c r="H23" s="152" t="s">
        <v>295</v>
      </c>
      <c r="I23" s="72"/>
      <c r="J23" s="115"/>
      <c r="K23" s="19" t="s">
        <v>310</v>
      </c>
      <c r="L23" s="116" t="s">
        <v>316</v>
      </c>
      <c r="M23" s="17"/>
      <c r="N23" s="106">
        <v>875125710</v>
      </c>
      <c r="O23" s="26"/>
    </row>
    <row r="24" spans="1:15" s="12" customFormat="1" ht="78.75" x14ac:dyDescent="0.25">
      <c r="A24" s="5">
        <v>11</v>
      </c>
      <c r="B24" s="143" t="s">
        <v>261</v>
      </c>
      <c r="C24" s="5">
        <v>1</v>
      </c>
      <c r="D24" s="5"/>
      <c r="E24" s="5"/>
      <c r="F24" s="5"/>
      <c r="G24" s="5">
        <v>1</v>
      </c>
      <c r="H24" s="153" t="s">
        <v>294</v>
      </c>
      <c r="I24" s="113"/>
      <c r="J24" s="117"/>
      <c r="K24" s="19" t="s">
        <v>310</v>
      </c>
      <c r="L24" s="120" t="s">
        <v>317</v>
      </c>
      <c r="M24" s="27" t="s">
        <v>338</v>
      </c>
      <c r="N24" s="106">
        <v>865307047</v>
      </c>
      <c r="O24" s="28"/>
    </row>
    <row r="25" spans="1:15" s="12" customFormat="1" ht="31.5" x14ac:dyDescent="0.25">
      <c r="A25" s="5">
        <v>12</v>
      </c>
      <c r="B25" s="146" t="s">
        <v>262</v>
      </c>
      <c r="C25" s="5">
        <v>1</v>
      </c>
      <c r="D25" s="5"/>
      <c r="E25" s="5"/>
      <c r="F25" s="5"/>
      <c r="G25" s="5">
        <v>1</v>
      </c>
      <c r="H25" s="161" t="s">
        <v>282</v>
      </c>
      <c r="I25" s="113"/>
      <c r="J25" s="117"/>
      <c r="K25" s="19" t="s">
        <v>310</v>
      </c>
      <c r="L25" s="116" t="s">
        <v>318</v>
      </c>
      <c r="M25" s="17"/>
      <c r="N25" s="106">
        <v>873026924</v>
      </c>
      <c r="O25" s="24"/>
    </row>
    <row r="26" spans="1:15" s="12" customFormat="1" ht="110.25" x14ac:dyDescent="0.25">
      <c r="A26" s="5">
        <v>14</v>
      </c>
      <c r="B26" s="80" t="s">
        <v>263</v>
      </c>
      <c r="C26" s="5">
        <v>1</v>
      </c>
      <c r="D26" s="5"/>
      <c r="E26" s="5"/>
      <c r="F26" s="5"/>
      <c r="G26" s="5">
        <v>1</v>
      </c>
      <c r="H26" s="41" t="s">
        <v>293</v>
      </c>
      <c r="I26" s="113"/>
      <c r="J26" s="117"/>
      <c r="K26" s="19" t="s">
        <v>310</v>
      </c>
      <c r="L26" s="114" t="s">
        <v>319</v>
      </c>
      <c r="M26" s="17"/>
      <c r="N26" s="106"/>
      <c r="O26" s="24"/>
    </row>
    <row r="27" spans="1:15" s="12" customFormat="1" ht="94.5" x14ac:dyDescent="0.25">
      <c r="A27" s="5">
        <v>15</v>
      </c>
      <c r="B27" s="80" t="s">
        <v>264</v>
      </c>
      <c r="C27" s="5">
        <v>1</v>
      </c>
      <c r="D27" s="66"/>
      <c r="E27" s="66"/>
      <c r="F27" s="66">
        <v>1</v>
      </c>
      <c r="G27" s="66"/>
      <c r="H27" s="154" t="s">
        <v>292</v>
      </c>
      <c r="I27" s="116"/>
      <c r="J27" s="114"/>
      <c r="K27" s="19" t="s">
        <v>310</v>
      </c>
      <c r="L27" s="121" t="s">
        <v>320</v>
      </c>
      <c r="M27" s="17"/>
      <c r="N27" s="106"/>
      <c r="O27" s="29"/>
    </row>
    <row r="28" spans="1:15" s="12" customFormat="1" ht="63" x14ac:dyDescent="0.25">
      <c r="A28" s="5">
        <v>16</v>
      </c>
      <c r="B28" s="144" t="s">
        <v>265</v>
      </c>
      <c r="C28" s="5">
        <v>1</v>
      </c>
      <c r="D28" s="5"/>
      <c r="E28" s="5"/>
      <c r="F28" s="5"/>
      <c r="G28" s="5">
        <v>1</v>
      </c>
      <c r="H28" s="154" t="s">
        <v>291</v>
      </c>
      <c r="I28" s="113"/>
      <c r="J28" s="117"/>
      <c r="K28" s="19" t="s">
        <v>310</v>
      </c>
      <c r="L28" s="120" t="s">
        <v>321</v>
      </c>
      <c r="M28" s="17"/>
      <c r="N28" s="19"/>
      <c r="O28" s="24"/>
    </row>
    <row r="29" spans="1:15" ht="47.25" x14ac:dyDescent="0.25">
      <c r="A29" s="5">
        <v>17</v>
      </c>
      <c r="B29" s="139" t="s">
        <v>266</v>
      </c>
      <c r="C29" s="5">
        <v>1</v>
      </c>
      <c r="D29" s="5"/>
      <c r="E29" s="5"/>
      <c r="F29" s="5"/>
      <c r="G29" s="5">
        <v>1</v>
      </c>
      <c r="H29" s="41" t="s">
        <v>290</v>
      </c>
      <c r="I29" s="72"/>
      <c r="J29" s="115"/>
      <c r="K29" s="19" t="s">
        <v>310</v>
      </c>
      <c r="L29" s="116" t="s">
        <v>322</v>
      </c>
      <c r="M29" s="17"/>
      <c r="N29" s="19"/>
      <c r="O29" s="24"/>
    </row>
    <row r="30" spans="1:15" ht="94.5" x14ac:dyDescent="0.25">
      <c r="A30" s="5">
        <v>18</v>
      </c>
      <c r="B30" s="139" t="s">
        <v>148</v>
      </c>
      <c r="C30" s="5">
        <v>1</v>
      </c>
      <c r="D30" s="5"/>
      <c r="E30" s="5"/>
      <c r="F30" s="5">
        <v>1</v>
      </c>
      <c r="G30" s="5"/>
      <c r="H30" s="41" t="s">
        <v>283</v>
      </c>
      <c r="I30" s="7"/>
      <c r="J30" s="67"/>
      <c r="K30" s="19" t="s">
        <v>310</v>
      </c>
      <c r="L30" s="18" t="s">
        <v>324</v>
      </c>
      <c r="M30" s="17"/>
      <c r="N30" s="19"/>
      <c r="O30" s="24"/>
    </row>
    <row r="31" spans="1:15" ht="94.5" x14ac:dyDescent="0.25">
      <c r="A31" s="5">
        <v>19</v>
      </c>
      <c r="B31" s="140" t="s">
        <v>276</v>
      </c>
      <c r="C31" s="5">
        <v>1</v>
      </c>
      <c r="D31" s="5"/>
      <c r="E31" s="5"/>
      <c r="F31" s="5"/>
      <c r="G31" s="5">
        <v>1</v>
      </c>
      <c r="H31" s="155" t="s">
        <v>289</v>
      </c>
      <c r="I31" s="7"/>
      <c r="J31" s="67"/>
      <c r="K31" s="19" t="s">
        <v>310</v>
      </c>
      <c r="L31" s="18" t="s">
        <v>323</v>
      </c>
      <c r="M31" s="17"/>
      <c r="N31" s="19"/>
      <c r="O31" s="30"/>
    </row>
    <row r="32" spans="1:15" ht="47.25" x14ac:dyDescent="0.25">
      <c r="A32" s="5">
        <v>20</v>
      </c>
      <c r="B32" s="138" t="s">
        <v>267</v>
      </c>
      <c r="C32" s="5">
        <v>1</v>
      </c>
      <c r="D32" s="5"/>
      <c r="E32" s="5"/>
      <c r="F32" s="5"/>
      <c r="G32" s="5">
        <v>1</v>
      </c>
      <c r="H32" s="94" t="s">
        <v>288</v>
      </c>
      <c r="I32" s="7"/>
      <c r="J32" s="67"/>
      <c r="K32" s="19" t="s">
        <v>310</v>
      </c>
      <c r="L32" s="87" t="s">
        <v>325</v>
      </c>
      <c r="M32" s="17"/>
      <c r="N32" s="19"/>
      <c r="O32" s="30"/>
    </row>
    <row r="33" spans="1:15" ht="110.25" x14ac:dyDescent="0.25">
      <c r="A33" s="5">
        <v>21</v>
      </c>
      <c r="B33" s="139" t="s">
        <v>268</v>
      </c>
      <c r="C33" s="5"/>
      <c r="D33" s="5"/>
      <c r="E33" s="5">
        <v>1</v>
      </c>
      <c r="F33" s="5">
        <v>1</v>
      </c>
      <c r="G33" s="5"/>
      <c r="H33" s="160" t="s">
        <v>287</v>
      </c>
      <c r="I33" s="32"/>
      <c r="J33" s="67"/>
      <c r="K33" s="19" t="s">
        <v>310</v>
      </c>
      <c r="L33" s="85" t="s">
        <v>187</v>
      </c>
      <c r="M33" s="17"/>
      <c r="N33" s="19"/>
      <c r="O33" s="30"/>
    </row>
    <row r="34" spans="1:15" ht="63" x14ac:dyDescent="0.25">
      <c r="A34" s="5">
        <v>22</v>
      </c>
      <c r="B34" s="144" t="s">
        <v>269</v>
      </c>
      <c r="C34" s="5"/>
      <c r="D34" s="5">
        <v>1</v>
      </c>
      <c r="E34" s="5"/>
      <c r="F34" s="5">
        <v>1</v>
      </c>
      <c r="G34" s="5"/>
      <c r="H34" s="18" t="s">
        <v>284</v>
      </c>
      <c r="I34" s="32"/>
      <c r="J34" s="67"/>
      <c r="K34" s="19" t="s">
        <v>310</v>
      </c>
      <c r="L34" s="18" t="s">
        <v>326</v>
      </c>
      <c r="M34" s="17"/>
      <c r="N34" s="19"/>
      <c r="O34" s="30"/>
    </row>
    <row r="35" spans="1:15" ht="63" x14ac:dyDescent="0.25">
      <c r="A35" s="5">
        <v>23</v>
      </c>
      <c r="B35" s="141" t="s">
        <v>270</v>
      </c>
      <c r="C35" s="5">
        <v>1</v>
      </c>
      <c r="D35" s="5"/>
      <c r="E35" s="5"/>
      <c r="F35" s="5"/>
      <c r="G35" s="5">
        <v>1</v>
      </c>
      <c r="H35" s="95" t="s">
        <v>285</v>
      </c>
      <c r="I35" s="32"/>
      <c r="J35" s="67"/>
      <c r="K35" s="19" t="s">
        <v>310</v>
      </c>
      <c r="L35" s="85" t="s">
        <v>327</v>
      </c>
      <c r="M35" s="17"/>
      <c r="N35" s="19"/>
      <c r="O35" s="30"/>
    </row>
    <row r="36" spans="1:15" ht="47.25" x14ac:dyDescent="0.25">
      <c r="A36" s="5">
        <v>24</v>
      </c>
      <c r="B36" s="141" t="s">
        <v>271</v>
      </c>
      <c r="C36" s="5"/>
      <c r="D36" s="5">
        <v>1</v>
      </c>
      <c r="E36" s="5"/>
      <c r="F36" s="5">
        <v>1</v>
      </c>
      <c r="G36" s="5"/>
      <c r="H36" s="18" t="s">
        <v>286</v>
      </c>
      <c r="I36" s="7"/>
      <c r="J36" s="67"/>
      <c r="K36" s="19" t="s">
        <v>310</v>
      </c>
      <c r="L36" s="85" t="s">
        <v>328</v>
      </c>
      <c r="M36" s="17"/>
      <c r="N36" s="19"/>
      <c r="O36" s="24"/>
    </row>
    <row r="37" spans="1:15" ht="47.25" x14ac:dyDescent="0.25">
      <c r="A37" s="5">
        <v>25</v>
      </c>
      <c r="B37" s="142" t="s">
        <v>272</v>
      </c>
      <c r="C37" s="5">
        <v>1</v>
      </c>
      <c r="D37" s="5"/>
      <c r="E37" s="5"/>
      <c r="F37" s="5">
        <v>1</v>
      </c>
      <c r="G37" s="5"/>
      <c r="H37" s="165" t="s">
        <v>296</v>
      </c>
      <c r="I37" s="7"/>
      <c r="J37" s="67"/>
      <c r="K37" s="19" t="s">
        <v>310</v>
      </c>
      <c r="L37" s="85" t="s">
        <v>328</v>
      </c>
      <c r="M37" s="17"/>
      <c r="N37" s="19"/>
      <c r="O37" s="24"/>
    </row>
    <row r="38" spans="1:15" ht="47.25" x14ac:dyDescent="0.25">
      <c r="A38" s="5">
        <v>26</v>
      </c>
      <c r="B38" s="142" t="s">
        <v>273</v>
      </c>
      <c r="C38" s="5">
        <v>1</v>
      </c>
      <c r="D38" s="5"/>
      <c r="E38" s="5"/>
      <c r="F38" s="5"/>
      <c r="G38" s="5">
        <v>1</v>
      </c>
      <c r="H38" s="71" t="s">
        <v>297</v>
      </c>
      <c r="I38" s="7"/>
      <c r="J38" s="67"/>
      <c r="K38" s="19" t="s">
        <v>310</v>
      </c>
      <c r="L38" s="85" t="s">
        <v>329</v>
      </c>
      <c r="M38" s="17"/>
      <c r="N38" s="19"/>
      <c r="O38" s="24"/>
    </row>
    <row r="39" spans="1:15" ht="78.75" x14ac:dyDescent="0.25">
      <c r="A39" s="5">
        <v>28</v>
      </c>
      <c r="B39" s="146" t="s">
        <v>274</v>
      </c>
      <c r="C39" s="5">
        <v>1</v>
      </c>
      <c r="D39" s="5"/>
      <c r="E39" s="5"/>
      <c r="F39" s="5"/>
      <c r="G39" s="5">
        <v>1</v>
      </c>
      <c r="H39" s="71" t="s">
        <v>298</v>
      </c>
      <c r="I39" s="7"/>
      <c r="J39" s="67"/>
      <c r="K39" s="19" t="s">
        <v>310</v>
      </c>
      <c r="L39" s="85"/>
      <c r="M39" s="17"/>
      <c r="N39" s="19"/>
      <c r="O39" s="24"/>
    </row>
    <row r="40" spans="1:15" ht="47.25" x14ac:dyDescent="0.25">
      <c r="A40" s="5">
        <v>29</v>
      </c>
      <c r="B40" s="146" t="s">
        <v>275</v>
      </c>
      <c r="C40" s="5">
        <v>1</v>
      </c>
      <c r="D40" s="5"/>
      <c r="E40" s="5"/>
      <c r="F40" s="5"/>
      <c r="G40" s="5">
        <v>1</v>
      </c>
      <c r="H40" s="166" t="s">
        <v>299</v>
      </c>
      <c r="I40" s="7"/>
      <c r="J40" s="67"/>
      <c r="K40" s="19" t="s">
        <v>310</v>
      </c>
      <c r="L40" s="85" t="s">
        <v>330</v>
      </c>
      <c r="M40" s="17"/>
      <c r="N40" s="19"/>
      <c r="O40" s="24"/>
    </row>
    <row r="41" spans="1:15" ht="63" x14ac:dyDescent="0.25">
      <c r="A41" s="5">
        <v>30</v>
      </c>
      <c r="B41" s="147" t="s">
        <v>300</v>
      </c>
      <c r="C41" s="5">
        <v>1</v>
      </c>
      <c r="D41" s="5"/>
      <c r="E41" s="5"/>
      <c r="F41" s="5"/>
      <c r="G41" s="5">
        <v>1</v>
      </c>
      <c r="H41" s="167" t="s">
        <v>304</v>
      </c>
      <c r="I41" s="7"/>
      <c r="J41" s="67"/>
      <c r="K41" s="19" t="s">
        <v>310</v>
      </c>
      <c r="L41" s="85" t="s">
        <v>331</v>
      </c>
      <c r="M41" s="17"/>
      <c r="N41" s="19"/>
      <c r="O41" s="24"/>
    </row>
    <row r="42" spans="1:15" ht="63" x14ac:dyDescent="0.25">
      <c r="A42" s="5">
        <v>31</v>
      </c>
      <c r="B42" s="148" t="s">
        <v>138</v>
      </c>
      <c r="C42" s="5">
        <v>1</v>
      </c>
      <c r="D42" s="5"/>
      <c r="E42" s="5"/>
      <c r="F42" s="5"/>
      <c r="G42" s="5">
        <v>1</v>
      </c>
      <c r="H42" s="116" t="s">
        <v>305</v>
      </c>
      <c r="I42" s="7"/>
      <c r="J42" s="67"/>
      <c r="K42" s="19" t="s">
        <v>310</v>
      </c>
      <c r="L42" s="85" t="s">
        <v>331</v>
      </c>
      <c r="M42" s="17"/>
      <c r="N42" s="19"/>
      <c r="O42" s="24"/>
    </row>
    <row r="43" spans="1:15" ht="78.75" x14ac:dyDescent="0.25">
      <c r="A43" s="5">
        <v>32</v>
      </c>
      <c r="B43" s="149" t="s">
        <v>137</v>
      </c>
      <c r="C43" s="5">
        <v>1</v>
      </c>
      <c r="D43" s="5"/>
      <c r="E43" s="5"/>
      <c r="F43" s="5"/>
      <c r="G43" s="5">
        <v>1</v>
      </c>
      <c r="H43" s="71" t="s">
        <v>303</v>
      </c>
      <c r="I43" s="7"/>
      <c r="J43" s="67"/>
      <c r="K43" s="19" t="s">
        <v>310</v>
      </c>
      <c r="L43" s="85" t="s">
        <v>332</v>
      </c>
      <c r="M43" s="17"/>
      <c r="N43" s="19"/>
      <c r="O43" s="24"/>
    </row>
    <row r="44" spans="1:15" ht="78.75" x14ac:dyDescent="0.25">
      <c r="A44" s="5">
        <v>33</v>
      </c>
      <c r="B44" s="150" t="s">
        <v>301</v>
      </c>
      <c r="C44" s="5">
        <v>1</v>
      </c>
      <c r="D44" s="5"/>
      <c r="E44" s="5"/>
      <c r="F44" s="5"/>
      <c r="G44" s="5">
        <v>1</v>
      </c>
      <c r="H44" s="168" t="s">
        <v>306</v>
      </c>
      <c r="I44" s="7"/>
      <c r="J44" s="67"/>
      <c r="K44" s="19" t="s">
        <v>310</v>
      </c>
      <c r="L44" s="85" t="s">
        <v>333</v>
      </c>
      <c r="M44" s="17"/>
      <c r="N44" s="19"/>
      <c r="O44" s="24"/>
    </row>
    <row r="45" spans="1:15" ht="47.25" x14ac:dyDescent="0.25">
      <c r="A45" s="5">
        <v>34</v>
      </c>
      <c r="B45" s="151" t="s">
        <v>266</v>
      </c>
      <c r="C45" s="5">
        <v>1</v>
      </c>
      <c r="D45" s="5"/>
      <c r="E45" s="5"/>
      <c r="F45" s="5"/>
      <c r="G45" s="5">
        <v>1</v>
      </c>
      <c r="H45" s="71" t="s">
        <v>307</v>
      </c>
      <c r="I45" s="7"/>
      <c r="J45" s="67"/>
      <c r="K45" s="19" t="s">
        <v>310</v>
      </c>
      <c r="L45" s="85" t="s">
        <v>334</v>
      </c>
      <c r="M45" s="17"/>
      <c r="N45" s="19"/>
      <c r="O45" s="24"/>
    </row>
    <row r="46" spans="1:15" ht="63" x14ac:dyDescent="0.25">
      <c r="A46" s="5">
        <v>35</v>
      </c>
      <c r="B46" s="149" t="s">
        <v>302</v>
      </c>
      <c r="C46" s="5">
        <v>1</v>
      </c>
      <c r="D46" s="5"/>
      <c r="E46" s="5"/>
      <c r="F46" s="5"/>
      <c r="G46" s="5">
        <v>1</v>
      </c>
      <c r="H46" s="72" t="s">
        <v>308</v>
      </c>
      <c r="I46" s="7"/>
      <c r="J46" s="67"/>
      <c r="K46" s="19" t="s">
        <v>310</v>
      </c>
      <c r="L46" s="85" t="s">
        <v>331</v>
      </c>
      <c r="M46" s="17"/>
      <c r="N46" s="19"/>
      <c r="O46" s="24"/>
    </row>
    <row r="47" spans="1:15" ht="63" x14ac:dyDescent="0.25">
      <c r="A47" s="5">
        <v>36</v>
      </c>
      <c r="B47" s="149" t="s">
        <v>56</v>
      </c>
      <c r="C47" s="5"/>
      <c r="D47" s="5">
        <v>1</v>
      </c>
      <c r="E47" s="5"/>
      <c r="F47" s="5">
        <v>1</v>
      </c>
      <c r="G47" s="5"/>
      <c r="H47" s="169" t="s">
        <v>309</v>
      </c>
      <c r="I47" s="7"/>
      <c r="J47" s="67"/>
      <c r="K47" s="19" t="s">
        <v>310</v>
      </c>
      <c r="L47" s="85" t="s">
        <v>331</v>
      </c>
      <c r="M47" s="17"/>
      <c r="N47" s="19"/>
      <c r="O47" s="24"/>
    </row>
    <row r="48" spans="1:15" ht="16.5" thickBot="1" x14ac:dyDescent="0.3">
      <c r="A48" s="5">
        <v>38</v>
      </c>
      <c r="B48" s="145"/>
      <c r="C48" s="8">
        <f>SUM(C16:C47)</f>
        <v>26</v>
      </c>
      <c r="D48" s="8">
        <f>SUM(D16:D47)</f>
        <v>3</v>
      </c>
      <c r="E48" s="8">
        <f>SUM(E16:E47)</f>
        <v>3</v>
      </c>
      <c r="F48" s="8">
        <f>SUM(F16:F47)</f>
        <v>7</v>
      </c>
      <c r="G48" s="8">
        <f>SUM(G16:G47)</f>
        <v>25</v>
      </c>
      <c r="H48" s="34"/>
      <c r="I48" s="9"/>
      <c r="J48" s="9"/>
      <c r="K48" s="88"/>
      <c r="L48" s="35"/>
      <c r="M48" s="33"/>
      <c r="N48" s="36"/>
      <c r="O48" s="37"/>
    </row>
    <row r="49" spans="1:15" x14ac:dyDescent="0.25">
      <c r="A49" s="329" t="s">
        <v>20</v>
      </c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</row>
    <row r="50" spans="1:15" x14ac:dyDescent="0.25">
      <c r="A50" s="325" t="s">
        <v>24</v>
      </c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</row>
    <row r="51" spans="1:15" x14ac:dyDescent="0.25">
      <c r="A51" s="325" t="s">
        <v>25</v>
      </c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</row>
  </sheetData>
  <mergeCells count="23">
    <mergeCell ref="A51:O51"/>
    <mergeCell ref="K14:K15"/>
    <mergeCell ref="L14:L15"/>
    <mergeCell ref="M14:M15"/>
    <mergeCell ref="N14:O14"/>
    <mergeCell ref="A49:O49"/>
    <mergeCell ref="A50:O50"/>
    <mergeCell ref="A11:O11"/>
    <mergeCell ref="A12:O12"/>
    <mergeCell ref="A13:O13"/>
    <mergeCell ref="A14:A15"/>
    <mergeCell ref="B14:B15"/>
    <mergeCell ref="C14:E14"/>
    <mergeCell ref="F14:G14"/>
    <mergeCell ref="H14:H15"/>
    <mergeCell ref="I14:I15"/>
    <mergeCell ref="J14:J15"/>
    <mergeCell ref="A10:O10"/>
    <mergeCell ref="A1:O5"/>
    <mergeCell ref="A6:O6"/>
    <mergeCell ref="A7:O7"/>
    <mergeCell ref="A8:O8"/>
    <mergeCell ref="A9:O9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8"/>
  <sheetViews>
    <sheetView workbookViewId="0">
      <selection activeCell="B10" sqref="B10:B22"/>
    </sheetView>
  </sheetViews>
  <sheetFormatPr defaultColWidth="9" defaultRowHeight="15.75" x14ac:dyDescent="0.25"/>
  <cols>
    <col min="1" max="1" width="5.42578125" style="10" customWidth="1"/>
    <col min="2" max="2" width="35.5703125" style="10" customWidth="1"/>
    <col min="3" max="3" width="12.5703125" style="10" customWidth="1"/>
    <col min="4" max="4" width="12.42578125" style="10" customWidth="1"/>
    <col min="5" max="5" width="13.7109375" style="10" customWidth="1"/>
    <col min="6" max="6" width="17" style="10" customWidth="1"/>
    <col min="7" max="7" width="19.140625" style="10" customWidth="1"/>
    <col min="8" max="8" width="44.42578125" style="10" customWidth="1"/>
    <col min="9" max="10" width="20" style="10" customWidth="1"/>
    <col min="11" max="11" width="18.85546875" style="10" customWidth="1"/>
    <col min="12" max="12" width="20.85546875" style="10" customWidth="1"/>
    <col min="13" max="16384" width="9" style="10"/>
  </cols>
  <sheetData>
    <row r="1" spans="1:15" ht="62.25" customHeight="1" x14ac:dyDescent="0.25">
      <c r="A1" s="338"/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</row>
    <row r="2" spans="1:15" x14ac:dyDescent="0.25">
      <c r="A2" s="338" t="s">
        <v>0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</row>
    <row r="3" spans="1:15" x14ac:dyDescent="0.25">
      <c r="A3" s="309" t="s">
        <v>81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172"/>
    </row>
    <row r="4" spans="1:15" x14ac:dyDescent="0.25">
      <c r="A4" s="339" t="s">
        <v>339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173"/>
      <c r="N4" s="173"/>
      <c r="O4" s="173"/>
    </row>
    <row r="5" spans="1:15" x14ac:dyDescent="0.25">
      <c r="A5" s="338"/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173"/>
      <c r="N5" s="173"/>
      <c r="O5" s="173"/>
    </row>
    <row r="6" spans="1:15" x14ac:dyDescent="0.25">
      <c r="A6" s="337" t="s">
        <v>525</v>
      </c>
      <c r="B6" s="312"/>
      <c r="C6" s="312"/>
      <c r="D6" s="312"/>
      <c r="E6" s="312"/>
      <c r="F6" s="312"/>
      <c r="G6" s="312"/>
      <c r="H6" s="312"/>
      <c r="I6" s="312"/>
      <c r="J6" s="312"/>
      <c r="K6" s="312"/>
      <c r="L6" s="312"/>
      <c r="M6" s="173"/>
      <c r="N6" s="173"/>
      <c r="O6" s="173"/>
    </row>
    <row r="7" spans="1:15" ht="16.5" thickBot="1" x14ac:dyDescent="0.3">
      <c r="A7" s="339" t="s">
        <v>340</v>
      </c>
      <c r="B7" s="339"/>
      <c r="C7" s="339"/>
      <c r="D7" s="339"/>
      <c r="E7" s="339"/>
      <c r="F7" s="339"/>
      <c r="G7" s="339"/>
      <c r="H7" s="339"/>
      <c r="I7" s="339"/>
      <c r="J7" s="339"/>
      <c r="K7" s="339"/>
      <c r="L7" s="339"/>
      <c r="M7" s="173"/>
    </row>
    <row r="8" spans="1:15" x14ac:dyDescent="0.25">
      <c r="A8" s="341" t="s">
        <v>341</v>
      </c>
      <c r="B8" s="343" t="s">
        <v>3</v>
      </c>
      <c r="C8" s="345" t="s">
        <v>4</v>
      </c>
      <c r="D8" s="346"/>
      <c r="E8" s="347"/>
      <c r="F8" s="348" t="s">
        <v>5</v>
      </c>
      <c r="G8" s="348"/>
      <c r="H8" s="343" t="s">
        <v>6</v>
      </c>
      <c r="I8" s="343" t="s">
        <v>7</v>
      </c>
      <c r="J8" s="343" t="s">
        <v>8</v>
      </c>
      <c r="K8" s="343" t="s">
        <v>9</v>
      </c>
      <c r="L8" s="349" t="s">
        <v>10</v>
      </c>
      <c r="O8" s="343"/>
    </row>
    <row r="9" spans="1:15" x14ac:dyDescent="0.25">
      <c r="A9" s="342"/>
      <c r="B9" s="344"/>
      <c r="C9" s="174" t="s">
        <v>13</v>
      </c>
      <c r="D9" s="174" t="s">
        <v>14</v>
      </c>
      <c r="E9" s="174" t="s">
        <v>15</v>
      </c>
      <c r="F9" s="175" t="s">
        <v>16</v>
      </c>
      <c r="G9" s="175" t="s">
        <v>17</v>
      </c>
      <c r="H9" s="344"/>
      <c r="I9" s="344"/>
      <c r="J9" s="344"/>
      <c r="K9" s="344"/>
      <c r="L9" s="350"/>
      <c r="O9" s="344"/>
    </row>
    <row r="10" spans="1:15" x14ac:dyDescent="0.25">
      <c r="A10" s="176">
        <v>1</v>
      </c>
      <c r="B10" s="13" t="s">
        <v>30</v>
      </c>
      <c r="C10" s="182">
        <v>1</v>
      </c>
      <c r="D10" s="182"/>
      <c r="E10" s="182"/>
      <c r="F10" s="182"/>
      <c r="G10" s="182">
        <v>1</v>
      </c>
      <c r="H10" s="210" t="s">
        <v>344</v>
      </c>
      <c r="I10" s="7"/>
      <c r="J10" s="182"/>
      <c r="K10" s="182" t="s">
        <v>345</v>
      </c>
      <c r="L10" s="179"/>
    </row>
    <row r="11" spans="1:15" x14ac:dyDescent="0.25">
      <c r="A11" s="176">
        <v>2</v>
      </c>
      <c r="B11" s="13" t="s">
        <v>85</v>
      </c>
      <c r="C11" s="182">
        <v>1</v>
      </c>
      <c r="D11" s="182"/>
      <c r="E11" s="182"/>
      <c r="F11" s="182"/>
      <c r="G11" s="182">
        <v>1</v>
      </c>
      <c r="H11" s="210" t="s">
        <v>346</v>
      </c>
      <c r="I11" s="7"/>
      <c r="J11" s="182"/>
      <c r="K11" s="182" t="s">
        <v>345</v>
      </c>
      <c r="L11" s="179"/>
    </row>
    <row r="12" spans="1:15" x14ac:dyDescent="0.25">
      <c r="A12" s="176">
        <v>3</v>
      </c>
      <c r="B12" s="211" t="s">
        <v>347</v>
      </c>
      <c r="C12" s="182">
        <v>1</v>
      </c>
      <c r="D12" s="182"/>
      <c r="E12" s="182"/>
      <c r="F12" s="182"/>
      <c r="G12" s="182">
        <v>1</v>
      </c>
      <c r="H12" s="210" t="s">
        <v>346</v>
      </c>
      <c r="I12" s="7"/>
      <c r="J12" s="182"/>
      <c r="K12" s="182" t="s">
        <v>345</v>
      </c>
      <c r="L12" s="179"/>
    </row>
    <row r="13" spans="1:15" x14ac:dyDescent="0.25">
      <c r="A13" s="176">
        <v>4</v>
      </c>
      <c r="B13" s="211" t="s">
        <v>150</v>
      </c>
      <c r="C13" s="182">
        <v>1</v>
      </c>
      <c r="D13" s="182"/>
      <c r="E13" s="182"/>
      <c r="F13" s="182"/>
      <c r="G13" s="182">
        <v>1</v>
      </c>
      <c r="H13" s="210" t="s">
        <v>346</v>
      </c>
      <c r="I13" s="7"/>
      <c r="J13" s="182"/>
      <c r="K13" s="182" t="s">
        <v>345</v>
      </c>
      <c r="L13" s="179"/>
    </row>
    <row r="14" spans="1:15" x14ac:dyDescent="0.25">
      <c r="A14" s="176">
        <v>5</v>
      </c>
      <c r="B14" s="211" t="s">
        <v>137</v>
      </c>
      <c r="C14" s="182"/>
      <c r="D14" s="182">
        <v>1</v>
      </c>
      <c r="E14" s="182"/>
      <c r="F14" s="182">
        <v>1</v>
      </c>
      <c r="G14" s="182"/>
      <c r="H14" s="212" t="s">
        <v>348</v>
      </c>
      <c r="I14" s="7"/>
      <c r="J14" s="182"/>
      <c r="K14" s="182" t="s">
        <v>345</v>
      </c>
      <c r="L14" s="179"/>
    </row>
    <row r="15" spans="1:15" x14ac:dyDescent="0.25">
      <c r="A15" s="176">
        <v>6</v>
      </c>
      <c r="B15" s="211" t="s">
        <v>150</v>
      </c>
      <c r="C15" s="182">
        <v>1</v>
      </c>
      <c r="D15" s="182"/>
      <c r="E15" s="182"/>
      <c r="F15" s="182"/>
      <c r="G15" s="182">
        <v>1</v>
      </c>
      <c r="H15" s="210" t="s">
        <v>349</v>
      </c>
      <c r="I15" s="7"/>
      <c r="J15" s="182"/>
      <c r="K15" s="182" t="s">
        <v>345</v>
      </c>
      <c r="L15" s="179"/>
    </row>
    <row r="16" spans="1:15" ht="31.5" x14ac:dyDescent="0.25">
      <c r="A16" s="176">
        <v>7</v>
      </c>
      <c r="B16" s="213" t="s">
        <v>350</v>
      </c>
      <c r="C16" s="182">
        <v>1</v>
      </c>
      <c r="D16" s="182"/>
      <c r="E16" s="182"/>
      <c r="F16" s="182"/>
      <c r="G16" s="182">
        <v>1</v>
      </c>
      <c r="H16" s="212" t="s">
        <v>351</v>
      </c>
      <c r="I16" s="7"/>
      <c r="J16" s="182"/>
      <c r="K16" s="182" t="s">
        <v>345</v>
      </c>
      <c r="L16" s="179"/>
    </row>
    <row r="17" spans="1:12" x14ac:dyDescent="0.25">
      <c r="A17" s="176">
        <v>8</v>
      </c>
      <c r="B17" s="213" t="s">
        <v>352</v>
      </c>
      <c r="C17" s="182"/>
      <c r="D17" s="182"/>
      <c r="E17" s="182"/>
      <c r="F17" s="182"/>
      <c r="G17" s="182"/>
      <c r="H17" s="212" t="s">
        <v>353</v>
      </c>
      <c r="I17" s="7"/>
      <c r="J17" s="182"/>
      <c r="K17" s="182" t="s">
        <v>345</v>
      </c>
      <c r="L17" s="179"/>
    </row>
    <row r="18" spans="1:12" x14ac:dyDescent="0.25">
      <c r="A18" s="176">
        <v>9</v>
      </c>
      <c r="B18" s="213" t="s">
        <v>354</v>
      </c>
      <c r="C18" s="182">
        <v>1</v>
      </c>
      <c r="D18" s="182"/>
      <c r="E18" s="182"/>
      <c r="F18" s="182"/>
      <c r="G18" s="182">
        <v>1</v>
      </c>
      <c r="H18" s="212" t="s">
        <v>353</v>
      </c>
      <c r="I18" s="7"/>
      <c r="J18" s="182"/>
      <c r="K18" s="182" t="s">
        <v>345</v>
      </c>
      <c r="L18" s="179"/>
    </row>
    <row r="19" spans="1:12" x14ac:dyDescent="0.25">
      <c r="A19" s="176">
        <v>10</v>
      </c>
      <c r="B19" s="213" t="s">
        <v>355</v>
      </c>
      <c r="C19" s="182"/>
      <c r="D19" s="182">
        <v>1</v>
      </c>
      <c r="E19" s="182"/>
      <c r="F19" s="182">
        <v>1</v>
      </c>
      <c r="G19" s="182"/>
      <c r="H19" s="212" t="s">
        <v>356</v>
      </c>
      <c r="I19" s="7"/>
      <c r="J19" s="182"/>
      <c r="K19" s="182" t="s">
        <v>345</v>
      </c>
      <c r="L19" s="179"/>
    </row>
    <row r="20" spans="1:12" x14ac:dyDescent="0.25">
      <c r="A20" s="176">
        <v>11</v>
      </c>
      <c r="B20" s="213" t="s">
        <v>357</v>
      </c>
      <c r="C20" s="182">
        <v>1</v>
      </c>
      <c r="D20" s="182"/>
      <c r="E20" s="182"/>
      <c r="F20" s="182"/>
      <c r="G20" s="182">
        <v>1</v>
      </c>
      <c r="H20" s="212" t="s">
        <v>358</v>
      </c>
      <c r="I20" s="7"/>
      <c r="J20" s="182"/>
      <c r="K20" s="182" t="s">
        <v>345</v>
      </c>
      <c r="L20" s="179"/>
    </row>
    <row r="21" spans="1:12" x14ac:dyDescent="0.25">
      <c r="A21" s="176">
        <v>12</v>
      </c>
      <c r="B21" s="213" t="s">
        <v>359</v>
      </c>
      <c r="C21" s="182"/>
      <c r="D21" s="182"/>
      <c r="E21" s="182"/>
      <c r="F21" s="182"/>
      <c r="G21" s="182"/>
      <c r="H21" s="210" t="s">
        <v>360</v>
      </c>
      <c r="I21" s="7"/>
      <c r="J21" s="182"/>
      <c r="K21" s="182" t="s">
        <v>345</v>
      </c>
      <c r="L21" s="179"/>
    </row>
    <row r="22" spans="1:12" x14ac:dyDescent="0.25">
      <c r="A22" s="176">
        <v>13</v>
      </c>
      <c r="B22" s="213" t="s">
        <v>361</v>
      </c>
      <c r="C22" s="182"/>
      <c r="D22" s="182">
        <v>1</v>
      </c>
      <c r="E22" s="182"/>
      <c r="F22" s="182">
        <v>1</v>
      </c>
      <c r="G22" s="182"/>
      <c r="H22" s="210" t="s">
        <v>362</v>
      </c>
      <c r="I22" s="7"/>
      <c r="J22" s="182"/>
      <c r="K22" s="182" t="s">
        <v>345</v>
      </c>
      <c r="L22" s="179"/>
    </row>
    <row r="23" spans="1:12" s="218" customFormat="1" x14ac:dyDescent="0.25">
      <c r="A23" s="206"/>
      <c r="B23" s="214"/>
      <c r="C23" s="246">
        <f>SUM(C10:C22)</f>
        <v>8</v>
      </c>
      <c r="D23" s="246">
        <f>SUM(D10:D22)</f>
        <v>3</v>
      </c>
      <c r="E23" s="246">
        <f>SUM(E10:E22)</f>
        <v>0</v>
      </c>
      <c r="F23" s="246">
        <f>SUM(F10:F22)</f>
        <v>3</v>
      </c>
      <c r="G23" s="246">
        <f>SUM(G10:G22)</f>
        <v>8</v>
      </c>
      <c r="H23" s="216"/>
      <c r="I23" s="217"/>
      <c r="J23" s="215"/>
      <c r="K23" s="215"/>
      <c r="L23" s="208"/>
    </row>
    <row r="24" spans="1:12" x14ac:dyDescent="0.25">
      <c r="A24" s="340"/>
      <c r="B24" s="340"/>
      <c r="C24" s="340"/>
      <c r="D24" s="340"/>
      <c r="E24" s="340"/>
      <c r="F24" s="340"/>
      <c r="G24" s="340"/>
      <c r="H24" s="340"/>
      <c r="I24" s="340"/>
      <c r="J24" s="340"/>
      <c r="K24" s="340"/>
      <c r="L24" s="340"/>
    </row>
    <row r="25" spans="1:12" x14ac:dyDescent="0.25">
      <c r="A25" s="340"/>
      <c r="B25" s="340"/>
      <c r="C25" s="340"/>
      <c r="D25" s="340"/>
      <c r="E25" s="340"/>
      <c r="F25" s="340"/>
      <c r="G25" s="340"/>
      <c r="H25" s="340"/>
      <c r="I25" s="340"/>
      <c r="J25" s="340"/>
      <c r="K25" s="340"/>
      <c r="L25" s="340"/>
    </row>
    <row r="26" spans="1:12" x14ac:dyDescent="0.25">
      <c r="A26" s="351" t="s">
        <v>20</v>
      </c>
      <c r="B26" s="351"/>
      <c r="C26" s="351"/>
      <c r="D26" s="351"/>
      <c r="E26" s="351"/>
      <c r="F26" s="351"/>
      <c r="G26" s="351"/>
      <c r="H26" s="351"/>
      <c r="I26" s="351"/>
      <c r="J26" s="351"/>
      <c r="K26" s="351"/>
      <c r="L26" s="351"/>
    </row>
    <row r="27" spans="1:12" x14ac:dyDescent="0.25">
      <c r="A27" s="340" t="s">
        <v>24</v>
      </c>
      <c r="B27" s="340"/>
      <c r="C27" s="340"/>
      <c r="D27" s="340"/>
      <c r="E27" s="340"/>
      <c r="F27" s="340"/>
      <c r="G27" s="340"/>
      <c r="H27" s="340"/>
      <c r="I27" s="340"/>
      <c r="J27" s="340"/>
      <c r="K27" s="340"/>
      <c r="L27" s="340"/>
    </row>
    <row r="28" spans="1:12" x14ac:dyDescent="0.25">
      <c r="A28" s="340" t="s">
        <v>25</v>
      </c>
      <c r="B28" s="340"/>
      <c r="C28" s="340"/>
      <c r="D28" s="340"/>
      <c r="E28" s="340"/>
      <c r="F28" s="340"/>
      <c r="G28" s="340"/>
      <c r="H28" s="340"/>
      <c r="I28" s="340"/>
      <c r="J28" s="340"/>
      <c r="K28" s="340"/>
      <c r="L28" s="340"/>
    </row>
  </sheetData>
  <mergeCells count="22">
    <mergeCell ref="O8:O9"/>
    <mergeCell ref="A24:L24"/>
    <mergeCell ref="A25:L25"/>
    <mergeCell ref="A26:L26"/>
    <mergeCell ref="A27:L27"/>
    <mergeCell ref="A28:L28"/>
    <mergeCell ref="A7:L7"/>
    <mergeCell ref="A8:A9"/>
    <mergeCell ref="B8:B9"/>
    <mergeCell ref="C8:E8"/>
    <mergeCell ref="F8:G8"/>
    <mergeCell ref="H8:H9"/>
    <mergeCell ref="I8:I9"/>
    <mergeCell ref="J8:J9"/>
    <mergeCell ref="K8:K9"/>
    <mergeCell ref="L8:L9"/>
    <mergeCell ref="A6:L6"/>
    <mergeCell ref="A1:L1"/>
    <mergeCell ref="A2:L2"/>
    <mergeCell ref="A3:L3"/>
    <mergeCell ref="A4:L4"/>
    <mergeCell ref="A5:L5"/>
  </mergeCells>
  <dataValidations count="2">
    <dataValidation type="list" allowBlank="1" showInputMessage="1" showErrorMessage="1" sqref="H21" xr:uid="{00000000-0002-0000-0600-000000000000}">
      <formula1>",Educação (SDEJT),Saúde (SDSMAS),Actividades económicas (SDAE),Infra-estrutura (SDPI),SDPI,Todos os Serviços "</formula1>
    </dataValidation>
    <dataValidation type="list" showInputMessage="1" showErrorMessage="1" promptTitle="VAL" sqref="H15 H22:H23 H10:H13" xr:uid="{00000000-0002-0000-0600-000001000000}">
      <formula1>VAL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8"/>
  <sheetViews>
    <sheetView workbookViewId="0">
      <selection activeCell="B10" sqref="B10:B32"/>
    </sheetView>
  </sheetViews>
  <sheetFormatPr defaultColWidth="9" defaultRowHeight="15.75" x14ac:dyDescent="0.25"/>
  <cols>
    <col min="1" max="1" width="5.42578125" style="10" customWidth="1"/>
    <col min="2" max="2" width="35.5703125" style="10" customWidth="1"/>
    <col min="3" max="3" width="12.5703125" style="10" customWidth="1"/>
    <col min="4" max="4" width="12.42578125" style="10" customWidth="1"/>
    <col min="5" max="5" width="13.7109375" style="10" customWidth="1"/>
    <col min="6" max="6" width="17" style="10" customWidth="1"/>
    <col min="7" max="7" width="19.140625" style="10" customWidth="1"/>
    <col min="8" max="8" width="46.5703125" style="10" customWidth="1"/>
    <col min="9" max="10" width="20" style="10" customWidth="1"/>
    <col min="11" max="11" width="18.85546875" style="10" customWidth="1"/>
    <col min="12" max="12" width="20.85546875" style="10" customWidth="1"/>
    <col min="13" max="16384" width="9" style="10"/>
  </cols>
  <sheetData>
    <row r="1" spans="1:15" ht="62.25" customHeight="1" x14ac:dyDescent="0.25">
      <c r="A1" s="338"/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</row>
    <row r="2" spans="1:15" x14ac:dyDescent="0.25">
      <c r="A2" s="338" t="s">
        <v>0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</row>
    <row r="3" spans="1:15" x14ac:dyDescent="0.25">
      <c r="A3" s="309" t="s">
        <v>81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172"/>
    </row>
    <row r="4" spans="1:15" x14ac:dyDescent="0.25">
      <c r="A4" s="339" t="s">
        <v>339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173"/>
      <c r="N4" s="173"/>
      <c r="O4" s="173"/>
    </row>
    <row r="5" spans="1:15" x14ac:dyDescent="0.25">
      <c r="A5" s="338"/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173"/>
      <c r="N5" s="173"/>
      <c r="O5" s="173"/>
    </row>
    <row r="6" spans="1:15" x14ac:dyDescent="0.25">
      <c r="A6" s="337" t="s">
        <v>526</v>
      </c>
      <c r="B6" s="312"/>
      <c r="C6" s="312"/>
      <c r="D6" s="312"/>
      <c r="E6" s="312"/>
      <c r="F6" s="312"/>
      <c r="G6" s="312"/>
      <c r="H6" s="312"/>
      <c r="I6" s="312"/>
      <c r="J6" s="312"/>
      <c r="K6" s="312"/>
      <c r="L6" s="312"/>
      <c r="M6" s="173"/>
      <c r="N6" s="173"/>
      <c r="O6" s="173"/>
    </row>
    <row r="7" spans="1:15" ht="16.5" thickBot="1" x14ac:dyDescent="0.3">
      <c r="A7" s="339" t="s">
        <v>340</v>
      </c>
      <c r="B7" s="339"/>
      <c r="C7" s="339"/>
      <c r="D7" s="339"/>
      <c r="E7" s="339"/>
      <c r="F7" s="339"/>
      <c r="G7" s="339"/>
      <c r="H7" s="339"/>
      <c r="I7" s="339"/>
      <c r="J7" s="339"/>
      <c r="K7" s="339"/>
      <c r="L7" s="339"/>
      <c r="M7" s="173"/>
    </row>
    <row r="8" spans="1:15" x14ac:dyDescent="0.25">
      <c r="A8" s="341" t="s">
        <v>341</v>
      </c>
      <c r="B8" s="343" t="s">
        <v>3</v>
      </c>
      <c r="C8" s="345" t="s">
        <v>4</v>
      </c>
      <c r="D8" s="346"/>
      <c r="E8" s="347"/>
      <c r="F8" s="348" t="s">
        <v>5</v>
      </c>
      <c r="G8" s="348"/>
      <c r="H8" s="343" t="s">
        <v>6</v>
      </c>
      <c r="I8" s="343" t="s">
        <v>7</v>
      </c>
      <c r="J8" s="343" t="s">
        <v>8</v>
      </c>
      <c r="K8" s="343" t="s">
        <v>9</v>
      </c>
      <c r="L8" s="349" t="s">
        <v>10</v>
      </c>
      <c r="O8" s="343"/>
    </row>
    <row r="9" spans="1:15" x14ac:dyDescent="0.25">
      <c r="A9" s="342"/>
      <c r="B9" s="344"/>
      <c r="C9" s="174" t="s">
        <v>13</v>
      </c>
      <c r="D9" s="174" t="s">
        <v>14</v>
      </c>
      <c r="E9" s="174" t="s">
        <v>15</v>
      </c>
      <c r="F9" s="175" t="s">
        <v>16</v>
      </c>
      <c r="G9" s="175" t="s">
        <v>17</v>
      </c>
      <c r="H9" s="344"/>
      <c r="I9" s="344"/>
      <c r="J9" s="344"/>
      <c r="K9" s="344"/>
      <c r="L9" s="350"/>
      <c r="O9" s="344"/>
    </row>
    <row r="10" spans="1:15" ht="47.25" x14ac:dyDescent="0.25">
      <c r="A10" s="176">
        <v>1</v>
      </c>
      <c r="B10" s="201" t="s">
        <v>363</v>
      </c>
      <c r="C10" s="182">
        <v>1</v>
      </c>
      <c r="D10" s="182"/>
      <c r="E10" s="182"/>
      <c r="F10" s="182"/>
      <c r="G10" s="182">
        <v>1</v>
      </c>
      <c r="H10" s="220" t="s">
        <v>364</v>
      </c>
      <c r="I10" s="7"/>
      <c r="J10" s="182"/>
      <c r="K10" s="72" t="s">
        <v>365</v>
      </c>
      <c r="L10" s="179"/>
    </row>
    <row r="11" spans="1:15" ht="47.25" x14ac:dyDescent="0.25">
      <c r="A11" s="176">
        <v>2</v>
      </c>
      <c r="B11" s="202" t="s">
        <v>85</v>
      </c>
      <c r="C11" s="182">
        <v>1</v>
      </c>
      <c r="D11" s="182"/>
      <c r="E11" s="182"/>
      <c r="F11" s="182"/>
      <c r="G11" s="182">
        <v>1</v>
      </c>
      <c r="H11" s="220" t="s">
        <v>366</v>
      </c>
      <c r="I11" s="7"/>
      <c r="J11" s="182"/>
      <c r="K11" s="72" t="s">
        <v>365</v>
      </c>
      <c r="L11" s="179"/>
    </row>
    <row r="12" spans="1:15" x14ac:dyDescent="0.25">
      <c r="A12" s="176">
        <v>3</v>
      </c>
      <c r="B12" s="221" t="s">
        <v>93</v>
      </c>
      <c r="C12" s="182">
        <v>1</v>
      </c>
      <c r="D12" s="182"/>
      <c r="E12" s="182"/>
      <c r="F12" s="182"/>
      <c r="G12" s="182">
        <v>1</v>
      </c>
      <c r="H12" s="13" t="s">
        <v>367</v>
      </c>
      <c r="I12" s="7"/>
      <c r="J12" s="182"/>
      <c r="K12" s="72" t="s">
        <v>365</v>
      </c>
      <c r="L12" s="179"/>
    </row>
    <row r="13" spans="1:15" x14ac:dyDescent="0.25">
      <c r="A13" s="176">
        <v>4</v>
      </c>
      <c r="B13" s="221" t="s">
        <v>368</v>
      </c>
      <c r="C13" s="182">
        <v>1</v>
      </c>
      <c r="D13" s="182"/>
      <c r="E13" s="182"/>
      <c r="F13" s="182"/>
      <c r="G13" s="182">
        <v>1</v>
      </c>
      <c r="H13" s="13" t="s">
        <v>369</v>
      </c>
      <c r="I13" s="7"/>
      <c r="J13" s="182"/>
      <c r="K13" s="72" t="s">
        <v>365</v>
      </c>
      <c r="L13" s="179"/>
    </row>
    <row r="14" spans="1:15" ht="31.5" x14ac:dyDescent="0.25">
      <c r="A14" s="176">
        <v>5</v>
      </c>
      <c r="B14" s="221" t="s">
        <v>91</v>
      </c>
      <c r="C14" s="182"/>
      <c r="D14" s="182">
        <v>1</v>
      </c>
      <c r="E14" s="182"/>
      <c r="F14" s="182">
        <v>1</v>
      </c>
      <c r="G14" s="182"/>
      <c r="H14" s="13" t="s">
        <v>370</v>
      </c>
      <c r="I14" s="7"/>
      <c r="J14" s="182"/>
      <c r="K14" s="72" t="s">
        <v>365</v>
      </c>
      <c r="L14" s="179"/>
    </row>
    <row r="15" spans="1:15" ht="47.25" x14ac:dyDescent="0.25">
      <c r="A15" s="176">
        <v>6</v>
      </c>
      <c r="B15" s="67" t="s">
        <v>371</v>
      </c>
      <c r="C15" s="182">
        <v>1</v>
      </c>
      <c r="D15" s="182"/>
      <c r="E15" s="182"/>
      <c r="F15" s="182"/>
      <c r="G15" s="182">
        <v>1</v>
      </c>
      <c r="H15" s="222" t="s">
        <v>372</v>
      </c>
      <c r="I15" s="7"/>
      <c r="J15" s="182"/>
      <c r="K15" s="72" t="s">
        <v>365</v>
      </c>
      <c r="L15" s="179"/>
    </row>
    <row r="16" spans="1:15" ht="31.5" x14ac:dyDescent="0.25">
      <c r="A16" s="176">
        <v>7</v>
      </c>
      <c r="B16" s="202" t="s">
        <v>48</v>
      </c>
      <c r="C16" s="182">
        <v>1</v>
      </c>
      <c r="D16" s="182"/>
      <c r="E16" s="182"/>
      <c r="F16" s="182"/>
      <c r="G16" s="182">
        <v>1</v>
      </c>
      <c r="H16" s="13" t="s">
        <v>373</v>
      </c>
      <c r="I16" s="7"/>
      <c r="J16" s="182"/>
      <c r="K16" s="72" t="s">
        <v>365</v>
      </c>
      <c r="L16" s="179"/>
    </row>
    <row r="17" spans="1:12" x14ac:dyDescent="0.25">
      <c r="A17" s="176">
        <v>8</v>
      </c>
      <c r="B17" s="202" t="s">
        <v>45</v>
      </c>
      <c r="C17" s="182">
        <v>1</v>
      </c>
      <c r="D17" s="182"/>
      <c r="E17" s="182"/>
      <c r="F17" s="182"/>
      <c r="G17" s="182">
        <v>1</v>
      </c>
      <c r="H17" s="13" t="s">
        <v>374</v>
      </c>
      <c r="I17" s="7"/>
      <c r="J17" s="182"/>
      <c r="K17" s="72" t="s">
        <v>365</v>
      </c>
      <c r="L17" s="179"/>
    </row>
    <row r="18" spans="1:12" ht="31.5" x14ac:dyDescent="0.25">
      <c r="A18" s="176">
        <v>9</v>
      </c>
      <c r="B18" s="221" t="s">
        <v>375</v>
      </c>
      <c r="C18" s="182">
        <v>1</v>
      </c>
      <c r="D18" s="182"/>
      <c r="E18" s="182"/>
      <c r="F18" s="182"/>
      <c r="G18" s="182">
        <v>1</v>
      </c>
      <c r="H18" s="223" t="s">
        <v>376</v>
      </c>
      <c r="I18" s="7"/>
      <c r="J18" s="182"/>
      <c r="K18" s="72" t="s">
        <v>365</v>
      </c>
      <c r="L18" s="179"/>
    </row>
    <row r="19" spans="1:12" ht="31.5" x14ac:dyDescent="0.25">
      <c r="A19" s="176">
        <v>10</v>
      </c>
      <c r="B19" s="221" t="s">
        <v>377</v>
      </c>
      <c r="C19" s="182">
        <v>1</v>
      </c>
      <c r="D19" s="182"/>
      <c r="E19" s="182"/>
      <c r="F19" s="182"/>
      <c r="G19" s="182">
        <v>1</v>
      </c>
      <c r="H19" s="70" t="s">
        <v>378</v>
      </c>
      <c r="I19" s="7"/>
      <c r="J19" s="182"/>
      <c r="K19" s="72" t="s">
        <v>365</v>
      </c>
      <c r="L19" s="179"/>
    </row>
    <row r="20" spans="1:12" x14ac:dyDescent="0.25">
      <c r="A20" s="176">
        <v>11</v>
      </c>
      <c r="B20" s="202" t="s">
        <v>379</v>
      </c>
      <c r="C20" s="182">
        <v>1</v>
      </c>
      <c r="D20" s="182"/>
      <c r="E20" s="182"/>
      <c r="F20" s="182"/>
      <c r="G20" s="182">
        <v>1</v>
      </c>
      <c r="H20" s="70" t="s">
        <v>380</v>
      </c>
      <c r="I20" s="7"/>
      <c r="J20" s="182"/>
      <c r="K20" s="72" t="s">
        <v>365</v>
      </c>
      <c r="L20" s="179"/>
    </row>
    <row r="21" spans="1:12" ht="31.5" x14ac:dyDescent="0.25">
      <c r="A21" s="176">
        <v>12</v>
      </c>
      <c r="B21" s="202" t="s">
        <v>381</v>
      </c>
      <c r="C21" s="182">
        <v>1</v>
      </c>
      <c r="D21" s="182"/>
      <c r="E21" s="182"/>
      <c r="F21" s="182"/>
      <c r="G21" s="182">
        <v>1</v>
      </c>
      <c r="H21" s="202" t="s">
        <v>382</v>
      </c>
      <c r="I21" s="7"/>
      <c r="J21" s="182"/>
      <c r="K21" s="72" t="s">
        <v>365</v>
      </c>
      <c r="L21" s="179"/>
    </row>
    <row r="22" spans="1:12" x14ac:dyDescent="0.25">
      <c r="A22" s="176">
        <v>13</v>
      </c>
      <c r="B22" s="221" t="s">
        <v>383</v>
      </c>
      <c r="C22" s="182">
        <v>1</v>
      </c>
      <c r="D22" s="182"/>
      <c r="E22" s="182"/>
      <c r="F22" s="182"/>
      <c r="G22" s="182">
        <v>1</v>
      </c>
      <c r="H22" s="221" t="s">
        <v>384</v>
      </c>
      <c r="I22" s="7"/>
      <c r="J22" s="182"/>
      <c r="K22" s="72" t="s">
        <v>365</v>
      </c>
      <c r="L22" s="179"/>
    </row>
    <row r="23" spans="1:12" ht="31.5" x14ac:dyDescent="0.25">
      <c r="A23" s="176">
        <v>14</v>
      </c>
      <c r="B23" s="202" t="s">
        <v>385</v>
      </c>
      <c r="C23" s="182"/>
      <c r="D23" s="182">
        <v>1</v>
      </c>
      <c r="E23" s="182"/>
      <c r="F23" s="182">
        <v>1</v>
      </c>
      <c r="G23" s="182"/>
      <c r="H23" s="221" t="s">
        <v>386</v>
      </c>
      <c r="I23" s="7"/>
      <c r="J23" s="182"/>
      <c r="K23" s="72" t="s">
        <v>365</v>
      </c>
      <c r="L23" s="179"/>
    </row>
    <row r="24" spans="1:12" ht="63" x14ac:dyDescent="0.25">
      <c r="A24" s="176">
        <v>15</v>
      </c>
      <c r="B24" s="202" t="s">
        <v>387</v>
      </c>
      <c r="C24" s="182"/>
      <c r="D24" s="182">
        <v>1</v>
      </c>
      <c r="E24" s="182"/>
      <c r="F24" s="182">
        <v>1</v>
      </c>
      <c r="G24" s="182"/>
      <c r="H24" s="224" t="s">
        <v>388</v>
      </c>
      <c r="I24" s="7"/>
      <c r="J24" s="182"/>
      <c r="K24" s="72" t="s">
        <v>365</v>
      </c>
      <c r="L24" s="179"/>
    </row>
    <row r="25" spans="1:12" ht="31.5" x14ac:dyDescent="0.25">
      <c r="A25" s="181">
        <v>16</v>
      </c>
      <c r="B25" s="202" t="s">
        <v>389</v>
      </c>
      <c r="C25" s="182">
        <v>1</v>
      </c>
      <c r="D25" s="182"/>
      <c r="E25" s="182"/>
      <c r="F25" s="182"/>
      <c r="G25" s="182">
        <v>1</v>
      </c>
      <c r="H25" s="221" t="s">
        <v>390</v>
      </c>
      <c r="I25" s="7"/>
      <c r="J25" s="182"/>
      <c r="K25" s="72" t="s">
        <v>365</v>
      </c>
      <c r="L25" s="182"/>
    </row>
    <row r="26" spans="1:12" x14ac:dyDescent="0.25">
      <c r="A26" s="181">
        <v>17</v>
      </c>
      <c r="B26" s="202" t="s">
        <v>391</v>
      </c>
      <c r="C26" s="182">
        <v>1</v>
      </c>
      <c r="D26" s="182"/>
      <c r="E26" s="182"/>
      <c r="F26" s="182"/>
      <c r="G26" s="182">
        <v>1</v>
      </c>
      <c r="H26" s="221" t="s">
        <v>392</v>
      </c>
      <c r="I26" s="7"/>
      <c r="J26" s="182"/>
      <c r="K26" s="72" t="s">
        <v>365</v>
      </c>
      <c r="L26" s="182"/>
    </row>
    <row r="27" spans="1:12" x14ac:dyDescent="0.25">
      <c r="A27" s="181">
        <v>18</v>
      </c>
      <c r="B27" s="202" t="s">
        <v>274</v>
      </c>
      <c r="C27" s="182">
        <v>1</v>
      </c>
      <c r="D27" s="182"/>
      <c r="E27" s="182"/>
      <c r="F27" s="182"/>
      <c r="G27" s="182">
        <v>1</v>
      </c>
      <c r="H27" s="221" t="s">
        <v>393</v>
      </c>
      <c r="I27" s="7"/>
      <c r="J27" s="182"/>
      <c r="K27" s="72" t="s">
        <v>365</v>
      </c>
      <c r="L27" s="182"/>
    </row>
    <row r="28" spans="1:12" ht="31.5" x14ac:dyDescent="0.25">
      <c r="A28" s="7">
        <v>19</v>
      </c>
      <c r="B28" s="202" t="s">
        <v>394</v>
      </c>
      <c r="C28" s="182">
        <v>1</v>
      </c>
      <c r="D28" s="182"/>
      <c r="E28" s="182"/>
      <c r="F28" s="182"/>
      <c r="G28" s="182">
        <v>1</v>
      </c>
      <c r="H28" s="221" t="s">
        <v>395</v>
      </c>
      <c r="I28" s="7"/>
      <c r="J28" s="182"/>
      <c r="K28" s="72" t="s">
        <v>365</v>
      </c>
      <c r="L28" s="182"/>
    </row>
    <row r="29" spans="1:12" x14ac:dyDescent="0.25">
      <c r="A29" s="181">
        <v>20</v>
      </c>
      <c r="B29" s="202" t="s">
        <v>105</v>
      </c>
      <c r="C29" s="182"/>
      <c r="D29" s="182">
        <v>1</v>
      </c>
      <c r="E29" s="182"/>
      <c r="F29" s="182">
        <v>1</v>
      </c>
      <c r="G29" s="182"/>
      <c r="H29" s="221" t="s">
        <v>393</v>
      </c>
      <c r="I29" s="7"/>
      <c r="J29" s="182"/>
      <c r="K29" s="72" t="s">
        <v>365</v>
      </c>
      <c r="L29" s="182"/>
    </row>
    <row r="30" spans="1:12" x14ac:dyDescent="0.25">
      <c r="A30" s="181">
        <v>21</v>
      </c>
      <c r="B30" s="202" t="s">
        <v>396</v>
      </c>
      <c r="C30" s="182"/>
      <c r="D30" s="182">
        <v>1</v>
      </c>
      <c r="E30" s="182"/>
      <c r="F30" s="182">
        <v>1</v>
      </c>
      <c r="G30" s="182"/>
      <c r="H30" s="221" t="s">
        <v>397</v>
      </c>
      <c r="I30" s="7"/>
      <c r="J30" s="182"/>
      <c r="K30" s="72" t="s">
        <v>365</v>
      </c>
      <c r="L30" s="182"/>
    </row>
    <row r="31" spans="1:12" ht="31.5" x14ac:dyDescent="0.25">
      <c r="A31" s="181">
        <v>22</v>
      </c>
      <c r="B31" s="221" t="s">
        <v>398</v>
      </c>
      <c r="C31" s="182"/>
      <c r="D31" s="182"/>
      <c r="E31" s="182"/>
      <c r="F31" s="182"/>
      <c r="G31" s="182"/>
      <c r="H31" s="221" t="s">
        <v>399</v>
      </c>
      <c r="I31" s="7"/>
      <c r="J31" s="182"/>
      <c r="K31" s="72" t="s">
        <v>365</v>
      </c>
      <c r="L31" s="182"/>
    </row>
    <row r="32" spans="1:12" x14ac:dyDescent="0.25">
      <c r="A32" s="7">
        <v>23</v>
      </c>
      <c r="B32" s="201" t="s">
        <v>400</v>
      </c>
      <c r="C32" s="182"/>
      <c r="D32" s="182"/>
      <c r="E32" s="182"/>
      <c r="F32" s="182"/>
      <c r="G32" s="182"/>
      <c r="H32" s="201" t="s">
        <v>401</v>
      </c>
      <c r="I32" s="7"/>
      <c r="J32" s="182"/>
      <c r="K32" s="72" t="s">
        <v>365</v>
      </c>
      <c r="L32" s="182"/>
    </row>
    <row r="33" spans="1:12" s="218" customFormat="1" x14ac:dyDescent="0.25">
      <c r="A33" s="217"/>
      <c r="B33" s="225"/>
      <c r="C33" s="246">
        <f>SUM(C10:C32)</f>
        <v>16</v>
      </c>
      <c r="D33" s="246">
        <f>SUM(D10:D32)</f>
        <v>5</v>
      </c>
      <c r="E33" s="246">
        <f>SUM(E10:E32)</f>
        <v>0</v>
      </c>
      <c r="F33" s="246">
        <f>SUM(F10:F32)</f>
        <v>5</v>
      </c>
      <c r="G33" s="246">
        <f>SUM(G10:G32)</f>
        <v>16</v>
      </c>
      <c r="H33" s="225"/>
      <c r="I33" s="217"/>
      <c r="J33" s="215"/>
      <c r="K33" s="226"/>
      <c r="L33" s="215"/>
    </row>
    <row r="34" spans="1:12" x14ac:dyDescent="0.25">
      <c r="A34" s="340"/>
      <c r="B34" s="340"/>
      <c r="C34" s="340"/>
      <c r="D34" s="340"/>
      <c r="E34" s="340"/>
      <c r="F34" s="340"/>
      <c r="G34" s="340"/>
      <c r="H34" s="340"/>
      <c r="I34" s="340"/>
      <c r="J34" s="340"/>
      <c r="K34" s="340"/>
      <c r="L34" s="340"/>
    </row>
    <row r="35" spans="1:12" x14ac:dyDescent="0.25">
      <c r="A35" s="340"/>
      <c r="B35" s="340"/>
      <c r="C35" s="340"/>
      <c r="D35" s="340"/>
      <c r="E35" s="340"/>
      <c r="F35" s="340"/>
      <c r="G35" s="340"/>
      <c r="H35" s="340"/>
      <c r="I35" s="340"/>
      <c r="J35" s="340"/>
      <c r="K35" s="340"/>
      <c r="L35" s="340"/>
    </row>
    <row r="36" spans="1:12" x14ac:dyDescent="0.25">
      <c r="A36" s="351" t="s">
        <v>20</v>
      </c>
      <c r="B36" s="351"/>
      <c r="C36" s="351"/>
      <c r="D36" s="351"/>
      <c r="E36" s="351"/>
      <c r="F36" s="351"/>
      <c r="G36" s="351"/>
      <c r="H36" s="351"/>
      <c r="I36" s="351"/>
      <c r="J36" s="351"/>
      <c r="K36" s="351"/>
      <c r="L36" s="351"/>
    </row>
    <row r="37" spans="1:12" x14ac:dyDescent="0.25">
      <c r="A37" s="340" t="s">
        <v>24</v>
      </c>
      <c r="B37" s="340"/>
      <c r="C37" s="340"/>
      <c r="D37" s="340"/>
      <c r="E37" s="340"/>
      <c r="F37" s="340"/>
      <c r="G37" s="340"/>
      <c r="H37" s="340"/>
      <c r="I37" s="340"/>
      <c r="J37" s="340"/>
      <c r="K37" s="340"/>
      <c r="L37" s="340"/>
    </row>
    <row r="38" spans="1:12" x14ac:dyDescent="0.25">
      <c r="A38" s="340" t="s">
        <v>25</v>
      </c>
      <c r="B38" s="340"/>
      <c r="C38" s="340"/>
      <c r="D38" s="340"/>
      <c r="E38" s="340"/>
      <c r="F38" s="340"/>
      <c r="G38" s="340"/>
      <c r="H38" s="340"/>
      <c r="I38" s="340"/>
      <c r="J38" s="340"/>
      <c r="K38" s="340"/>
      <c r="L38" s="340"/>
    </row>
  </sheetData>
  <mergeCells count="22">
    <mergeCell ref="O8:O9"/>
    <mergeCell ref="A34:L34"/>
    <mergeCell ref="A35:L35"/>
    <mergeCell ref="A36:L36"/>
    <mergeCell ref="A37:L37"/>
    <mergeCell ref="A38:L38"/>
    <mergeCell ref="A7:L7"/>
    <mergeCell ref="A8:A9"/>
    <mergeCell ref="B8:B9"/>
    <mergeCell ref="C8:E8"/>
    <mergeCell ref="F8:G8"/>
    <mergeCell ref="H8:H9"/>
    <mergeCell ref="I8:I9"/>
    <mergeCell ref="J8:J9"/>
    <mergeCell ref="K8:K9"/>
    <mergeCell ref="L8:L9"/>
    <mergeCell ref="A6:L6"/>
    <mergeCell ref="A1:L1"/>
    <mergeCell ref="A2:L2"/>
    <mergeCell ref="A3:L3"/>
    <mergeCell ref="A4:L4"/>
    <mergeCell ref="A5:L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5"/>
  <sheetViews>
    <sheetView topLeftCell="A2" workbookViewId="0">
      <selection activeCell="B31" sqref="B10:B31"/>
    </sheetView>
  </sheetViews>
  <sheetFormatPr defaultColWidth="9" defaultRowHeight="15.75" x14ac:dyDescent="0.25"/>
  <cols>
    <col min="1" max="1" width="5.42578125" style="10" customWidth="1"/>
    <col min="2" max="2" width="35.5703125" style="10" customWidth="1"/>
    <col min="3" max="3" width="12.5703125" style="10" customWidth="1"/>
    <col min="4" max="4" width="12.42578125" style="10" customWidth="1"/>
    <col min="5" max="5" width="13.7109375" style="10" customWidth="1"/>
    <col min="6" max="6" width="17" style="10" customWidth="1"/>
    <col min="7" max="7" width="19.140625" style="10" customWidth="1"/>
    <col min="8" max="8" width="44.42578125" style="10" customWidth="1"/>
    <col min="9" max="10" width="20" style="10" customWidth="1"/>
    <col min="11" max="11" width="18.85546875" style="10" customWidth="1"/>
    <col min="12" max="12" width="20.85546875" style="10" customWidth="1"/>
    <col min="13" max="16384" width="9" style="10"/>
  </cols>
  <sheetData>
    <row r="1" spans="1:15" ht="62.25" customHeight="1" x14ac:dyDescent="0.25">
      <c r="A1" s="338"/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</row>
    <row r="2" spans="1:15" x14ac:dyDescent="0.25">
      <c r="A2" s="338" t="s">
        <v>0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</row>
    <row r="3" spans="1:15" x14ac:dyDescent="0.25">
      <c r="A3" s="309" t="s">
        <v>81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172"/>
    </row>
    <row r="4" spans="1:15" x14ac:dyDescent="0.25">
      <c r="A4" s="339" t="s">
        <v>339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173"/>
      <c r="N4" s="173"/>
      <c r="O4" s="173"/>
    </row>
    <row r="5" spans="1:15" x14ac:dyDescent="0.25">
      <c r="A5" s="338"/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173"/>
      <c r="N5" s="173"/>
      <c r="O5" s="173"/>
    </row>
    <row r="6" spans="1:15" x14ac:dyDescent="0.25">
      <c r="A6" s="337" t="s">
        <v>527</v>
      </c>
      <c r="B6" s="312"/>
      <c r="C6" s="312"/>
      <c r="D6" s="312"/>
      <c r="E6" s="312"/>
      <c r="F6" s="312"/>
      <c r="G6" s="312"/>
      <c r="H6" s="312"/>
      <c r="I6" s="312"/>
      <c r="J6" s="312"/>
      <c r="K6" s="312"/>
      <c r="L6" s="312"/>
      <c r="M6" s="173"/>
      <c r="N6" s="173"/>
      <c r="O6" s="173"/>
    </row>
    <row r="7" spans="1:15" ht="16.5" thickBot="1" x14ac:dyDescent="0.3">
      <c r="A7" s="339" t="s">
        <v>340</v>
      </c>
      <c r="B7" s="339"/>
      <c r="C7" s="339"/>
      <c r="D7" s="339"/>
      <c r="E7" s="339"/>
      <c r="F7" s="339"/>
      <c r="G7" s="339"/>
      <c r="H7" s="339"/>
      <c r="I7" s="339"/>
      <c r="J7" s="339"/>
      <c r="K7" s="339"/>
      <c r="L7" s="339"/>
      <c r="M7" s="173"/>
    </row>
    <row r="8" spans="1:15" x14ac:dyDescent="0.25">
      <c r="A8" s="341" t="s">
        <v>341</v>
      </c>
      <c r="B8" s="343" t="s">
        <v>3</v>
      </c>
      <c r="C8" s="345" t="s">
        <v>4</v>
      </c>
      <c r="D8" s="346"/>
      <c r="E8" s="347"/>
      <c r="F8" s="348" t="s">
        <v>5</v>
      </c>
      <c r="G8" s="348"/>
      <c r="H8" s="343" t="s">
        <v>6</v>
      </c>
      <c r="I8" s="343" t="s">
        <v>7</v>
      </c>
      <c r="J8" s="343" t="s">
        <v>8</v>
      </c>
      <c r="K8" s="343" t="s">
        <v>9</v>
      </c>
      <c r="L8" s="349" t="s">
        <v>10</v>
      </c>
      <c r="O8" s="343"/>
    </row>
    <row r="9" spans="1:15" x14ac:dyDescent="0.25">
      <c r="A9" s="342"/>
      <c r="B9" s="344"/>
      <c r="C9" s="174" t="s">
        <v>13</v>
      </c>
      <c r="D9" s="174" t="s">
        <v>14</v>
      </c>
      <c r="E9" s="174" t="s">
        <v>15</v>
      </c>
      <c r="F9" s="175" t="s">
        <v>16</v>
      </c>
      <c r="G9" s="175" t="s">
        <v>17</v>
      </c>
      <c r="H9" s="344"/>
      <c r="I9" s="344"/>
      <c r="J9" s="344"/>
      <c r="K9" s="344"/>
      <c r="L9" s="350"/>
      <c r="O9" s="344"/>
    </row>
    <row r="10" spans="1:15" ht="78.75" x14ac:dyDescent="0.25">
      <c r="A10" s="183">
        <v>1</v>
      </c>
      <c r="B10" s="116" t="s">
        <v>402</v>
      </c>
      <c r="C10" s="194">
        <v>1</v>
      </c>
      <c r="D10" s="194"/>
      <c r="E10" s="194"/>
      <c r="F10" s="194"/>
      <c r="G10" s="194">
        <v>1</v>
      </c>
      <c r="H10" s="232" t="s">
        <v>403</v>
      </c>
      <c r="I10" s="7"/>
      <c r="J10" s="182"/>
      <c r="K10" s="194" t="s">
        <v>404</v>
      </c>
      <c r="L10" s="179"/>
    </row>
    <row r="11" spans="1:15" ht="47.25" x14ac:dyDescent="0.25">
      <c r="A11" s="183">
        <v>2</v>
      </c>
      <c r="B11" s="116" t="s">
        <v>405</v>
      </c>
      <c r="C11" s="194">
        <v>1</v>
      </c>
      <c r="D11" s="194"/>
      <c r="E11" s="194"/>
      <c r="F11" s="194"/>
      <c r="G11" s="194">
        <v>1</v>
      </c>
      <c r="H11" s="233" t="s">
        <v>406</v>
      </c>
      <c r="I11" s="7"/>
      <c r="J11" s="182"/>
      <c r="K11" s="194" t="s">
        <v>404</v>
      </c>
      <c r="L11" s="179"/>
    </row>
    <row r="12" spans="1:15" ht="31.5" x14ac:dyDescent="0.25">
      <c r="A12" s="183">
        <v>3</v>
      </c>
      <c r="B12" s="116" t="s">
        <v>150</v>
      </c>
      <c r="C12" s="194">
        <v>1</v>
      </c>
      <c r="D12" s="194"/>
      <c r="E12" s="194"/>
      <c r="F12" s="194"/>
      <c r="G12" s="194">
        <v>1</v>
      </c>
      <c r="H12" s="234" t="s">
        <v>407</v>
      </c>
      <c r="I12" s="7"/>
      <c r="J12" s="182"/>
      <c r="K12" s="194" t="s">
        <v>404</v>
      </c>
      <c r="L12" s="179"/>
    </row>
    <row r="13" spans="1:15" x14ac:dyDescent="0.25">
      <c r="A13" s="183">
        <v>4</v>
      </c>
      <c r="B13" s="116" t="s">
        <v>408</v>
      </c>
      <c r="C13" s="194">
        <v>1</v>
      </c>
      <c r="D13" s="194"/>
      <c r="E13" s="194"/>
      <c r="F13" s="194"/>
      <c r="G13" s="194">
        <v>1</v>
      </c>
      <c r="H13" s="210"/>
      <c r="I13" s="7"/>
      <c r="J13" s="182"/>
      <c r="K13" s="194" t="s">
        <v>404</v>
      </c>
      <c r="L13" s="179"/>
    </row>
    <row r="14" spans="1:15" ht="78.75" x14ac:dyDescent="0.25">
      <c r="A14" s="183">
        <v>5</v>
      </c>
      <c r="B14" s="116" t="s">
        <v>147</v>
      </c>
      <c r="C14" s="194">
        <v>1</v>
      </c>
      <c r="D14" s="194"/>
      <c r="E14" s="194"/>
      <c r="F14" s="194"/>
      <c r="G14" s="194">
        <v>1</v>
      </c>
      <c r="H14" s="13" t="s">
        <v>409</v>
      </c>
      <c r="I14" s="7" t="s">
        <v>410</v>
      </c>
      <c r="J14" s="182"/>
      <c r="K14" s="194" t="s">
        <v>404</v>
      </c>
      <c r="L14" s="179"/>
    </row>
    <row r="15" spans="1:15" ht="78.75" x14ac:dyDescent="0.25">
      <c r="A15" s="183">
        <v>6</v>
      </c>
      <c r="B15" s="116" t="s">
        <v>411</v>
      </c>
      <c r="C15" s="194">
        <v>1</v>
      </c>
      <c r="D15" s="194"/>
      <c r="E15" s="194"/>
      <c r="F15" s="194"/>
      <c r="G15" s="194">
        <v>1</v>
      </c>
      <c r="H15" s="114" t="s">
        <v>412</v>
      </c>
      <c r="I15" s="7"/>
      <c r="J15" s="182"/>
      <c r="K15" s="194" t="s">
        <v>404</v>
      </c>
      <c r="L15" s="179"/>
    </row>
    <row r="16" spans="1:15" ht="94.5" x14ac:dyDescent="0.25">
      <c r="A16" s="183">
        <v>7</v>
      </c>
      <c r="B16" s="224" t="s">
        <v>413</v>
      </c>
      <c r="C16" s="194"/>
      <c r="D16" s="194">
        <v>1</v>
      </c>
      <c r="E16" s="194"/>
      <c r="F16" s="194">
        <v>1</v>
      </c>
      <c r="G16" s="194"/>
      <c r="H16" s="233" t="s">
        <v>414</v>
      </c>
      <c r="I16" s="7"/>
      <c r="J16" s="182"/>
      <c r="K16" s="194" t="s">
        <v>404</v>
      </c>
      <c r="L16" s="179"/>
    </row>
    <row r="17" spans="1:12" ht="63" x14ac:dyDescent="0.25">
      <c r="A17" s="183">
        <v>8</v>
      </c>
      <c r="B17" s="116" t="s">
        <v>61</v>
      </c>
      <c r="C17" s="194"/>
      <c r="D17" s="194">
        <v>1</v>
      </c>
      <c r="E17" s="194"/>
      <c r="F17" s="194">
        <v>1</v>
      </c>
      <c r="G17" s="194"/>
      <c r="H17" s="235" t="s">
        <v>415</v>
      </c>
      <c r="I17" s="7"/>
      <c r="J17" s="182"/>
      <c r="K17" s="194" t="s">
        <v>404</v>
      </c>
      <c r="L17" s="179"/>
    </row>
    <row r="18" spans="1:12" ht="47.25" x14ac:dyDescent="0.25">
      <c r="A18" s="183">
        <v>9</v>
      </c>
      <c r="B18" s="224" t="s">
        <v>416</v>
      </c>
      <c r="C18" s="194"/>
      <c r="D18" s="194">
        <v>1</v>
      </c>
      <c r="E18" s="194"/>
      <c r="F18" s="194">
        <v>1</v>
      </c>
      <c r="G18" s="194"/>
      <c r="H18" s="13" t="s">
        <v>417</v>
      </c>
      <c r="I18" s="7"/>
      <c r="J18" s="182"/>
      <c r="K18" s="194" t="s">
        <v>404</v>
      </c>
      <c r="L18" s="179"/>
    </row>
    <row r="19" spans="1:12" ht="78.75" x14ac:dyDescent="0.25">
      <c r="A19" s="183">
        <v>10</v>
      </c>
      <c r="B19" s="224" t="s">
        <v>418</v>
      </c>
      <c r="C19" s="194">
        <v>1</v>
      </c>
      <c r="D19" s="194"/>
      <c r="E19" s="194"/>
      <c r="F19" s="194"/>
      <c r="G19" s="194">
        <v>1</v>
      </c>
      <c r="H19" s="55" t="s">
        <v>419</v>
      </c>
      <c r="I19" s="7"/>
      <c r="J19" s="182"/>
      <c r="K19" s="194" t="s">
        <v>404</v>
      </c>
      <c r="L19" s="179"/>
    </row>
    <row r="20" spans="1:12" s="237" customFormat="1" ht="78.75" x14ac:dyDescent="0.25">
      <c r="A20" s="186">
        <v>11</v>
      </c>
      <c r="B20" s="236" t="s">
        <v>420</v>
      </c>
      <c r="C20" s="194">
        <v>1</v>
      </c>
      <c r="D20" s="194"/>
      <c r="E20" s="113"/>
      <c r="F20" s="194"/>
      <c r="G20" s="194">
        <v>1</v>
      </c>
      <c r="H20" s="41" t="s">
        <v>421</v>
      </c>
      <c r="I20" s="228"/>
      <c r="J20" s="228"/>
      <c r="K20" s="228"/>
      <c r="L20" s="187"/>
    </row>
    <row r="21" spans="1:12" ht="47.25" x14ac:dyDescent="0.25">
      <c r="A21" s="183">
        <v>12</v>
      </c>
      <c r="B21" s="41" t="s">
        <v>422</v>
      </c>
      <c r="C21" s="194">
        <v>1</v>
      </c>
      <c r="D21" s="194"/>
      <c r="E21" s="194"/>
      <c r="F21" s="194"/>
      <c r="G21" s="194">
        <v>1</v>
      </c>
      <c r="H21" s="238" t="s">
        <v>423</v>
      </c>
      <c r="I21" s="7"/>
      <c r="J21" s="182"/>
      <c r="K21" s="194" t="s">
        <v>404</v>
      </c>
      <c r="L21" s="179"/>
    </row>
    <row r="22" spans="1:12" ht="94.5" x14ac:dyDescent="0.25">
      <c r="A22" s="183">
        <v>13</v>
      </c>
      <c r="B22" s="116" t="s">
        <v>424</v>
      </c>
      <c r="C22" s="194">
        <v>1</v>
      </c>
      <c r="D22" s="194"/>
      <c r="E22" s="194"/>
      <c r="F22" s="194"/>
      <c r="G22" s="194">
        <v>1</v>
      </c>
      <c r="H22" s="41" t="s">
        <v>425</v>
      </c>
      <c r="I22" s="7"/>
      <c r="J22" s="182"/>
      <c r="K22" s="194" t="s">
        <v>404</v>
      </c>
      <c r="L22" s="179"/>
    </row>
    <row r="23" spans="1:12" ht="63" x14ac:dyDescent="0.25">
      <c r="A23" s="183">
        <v>14</v>
      </c>
      <c r="B23" s="224" t="s">
        <v>85</v>
      </c>
      <c r="C23" s="194">
        <v>1</v>
      </c>
      <c r="D23" s="194"/>
      <c r="E23" s="194"/>
      <c r="F23" s="194"/>
      <c r="G23" s="194">
        <v>1</v>
      </c>
      <c r="H23" s="13" t="s">
        <v>426</v>
      </c>
      <c r="I23" s="7"/>
      <c r="J23" s="182"/>
      <c r="K23" s="194" t="s">
        <v>404</v>
      </c>
      <c r="L23" s="179"/>
    </row>
    <row r="24" spans="1:12" ht="78.75" x14ac:dyDescent="0.25">
      <c r="A24" s="183">
        <v>15</v>
      </c>
      <c r="B24" s="116" t="s">
        <v>427</v>
      </c>
      <c r="C24" s="194"/>
      <c r="D24" s="194">
        <v>1</v>
      </c>
      <c r="E24" s="194"/>
      <c r="F24" s="194"/>
      <c r="G24" s="194">
        <v>1</v>
      </c>
      <c r="H24" s="50" t="s">
        <v>428</v>
      </c>
      <c r="I24" s="7"/>
      <c r="J24" s="182"/>
      <c r="K24" s="194" t="s">
        <v>404</v>
      </c>
      <c r="L24" s="179"/>
    </row>
    <row r="25" spans="1:12" ht="63" x14ac:dyDescent="0.25">
      <c r="A25" s="183">
        <v>16</v>
      </c>
      <c r="B25" s="116" t="s">
        <v>429</v>
      </c>
      <c r="C25" s="194">
        <v>1</v>
      </c>
      <c r="D25" s="194"/>
      <c r="E25" s="194"/>
      <c r="F25" s="194"/>
      <c r="G25" s="194">
        <v>1</v>
      </c>
      <c r="H25" s="32" t="s">
        <v>430</v>
      </c>
      <c r="I25" s="7"/>
      <c r="J25" s="182"/>
      <c r="K25" s="194" t="s">
        <v>404</v>
      </c>
      <c r="L25" s="179"/>
    </row>
    <row r="26" spans="1:12" ht="63" x14ac:dyDescent="0.25">
      <c r="A26" s="188">
        <v>17</v>
      </c>
      <c r="B26" s="230" t="s">
        <v>408</v>
      </c>
      <c r="C26" s="194">
        <v>1</v>
      </c>
      <c r="D26" s="194"/>
      <c r="E26" s="194"/>
      <c r="F26" s="194"/>
      <c r="G26" s="194">
        <v>1</v>
      </c>
      <c r="H26" s="86" t="s">
        <v>431</v>
      </c>
      <c r="I26" s="7"/>
      <c r="J26" s="182"/>
      <c r="K26" s="194" t="s">
        <v>404</v>
      </c>
      <c r="L26" s="179"/>
    </row>
    <row r="27" spans="1:12" x14ac:dyDescent="0.25">
      <c r="A27" s="188">
        <v>18</v>
      </c>
      <c r="B27" s="231" t="s">
        <v>432</v>
      </c>
      <c r="C27" s="194"/>
      <c r="D27" s="194">
        <v>1</v>
      </c>
      <c r="E27" s="194"/>
      <c r="F27" s="194">
        <v>1</v>
      </c>
      <c r="G27" s="194"/>
      <c r="H27" s="239" t="s">
        <v>433</v>
      </c>
      <c r="I27" s="7"/>
      <c r="J27" s="182"/>
      <c r="K27" s="194" t="s">
        <v>404</v>
      </c>
      <c r="L27" s="179"/>
    </row>
    <row r="28" spans="1:12" ht="78.75" x14ac:dyDescent="0.25">
      <c r="A28" s="188">
        <v>19</v>
      </c>
      <c r="B28" s="230" t="s">
        <v>138</v>
      </c>
      <c r="C28" s="194">
        <v>1</v>
      </c>
      <c r="D28" s="194"/>
      <c r="E28" s="194"/>
      <c r="F28" s="194"/>
      <c r="G28" s="194">
        <v>1</v>
      </c>
      <c r="H28" s="86" t="s">
        <v>434</v>
      </c>
      <c r="I28" s="7"/>
      <c r="J28" s="182"/>
      <c r="K28" s="194" t="s">
        <v>404</v>
      </c>
      <c r="L28" s="179"/>
    </row>
    <row r="29" spans="1:12" ht="47.25" x14ac:dyDescent="0.25">
      <c r="A29" s="183">
        <v>20</v>
      </c>
      <c r="B29" s="231" t="s">
        <v>435</v>
      </c>
      <c r="C29" s="182"/>
      <c r="D29" s="194">
        <v>1</v>
      </c>
      <c r="E29" s="182"/>
      <c r="F29" s="194">
        <v>1</v>
      </c>
      <c r="G29" s="182"/>
      <c r="H29" s="240" t="s">
        <v>436</v>
      </c>
      <c r="I29" s="7"/>
      <c r="J29" s="182"/>
      <c r="K29" s="194" t="s">
        <v>404</v>
      </c>
      <c r="L29" s="179"/>
    </row>
    <row r="30" spans="1:12" ht="94.5" x14ac:dyDescent="0.25">
      <c r="A30" s="188">
        <v>21</v>
      </c>
      <c r="B30" s="230" t="s">
        <v>437</v>
      </c>
      <c r="C30" s="182"/>
      <c r="D30" s="194">
        <v>1</v>
      </c>
      <c r="E30" s="182"/>
      <c r="F30" s="194">
        <v>1</v>
      </c>
      <c r="G30" s="182"/>
      <c r="H30" s="86" t="s">
        <v>438</v>
      </c>
      <c r="I30" s="7"/>
      <c r="J30" s="182"/>
      <c r="K30" s="194" t="s">
        <v>404</v>
      </c>
      <c r="L30" s="179"/>
    </row>
    <row r="31" spans="1:12" x14ac:dyDescent="0.25">
      <c r="A31" s="188">
        <v>22</v>
      </c>
      <c r="B31" s="116" t="s">
        <v>379</v>
      </c>
      <c r="C31" s="182"/>
      <c r="D31" s="194"/>
      <c r="E31" s="182"/>
      <c r="F31" s="194"/>
      <c r="G31" s="182"/>
      <c r="H31" s="241" t="s">
        <v>439</v>
      </c>
      <c r="I31" s="7"/>
      <c r="J31" s="182"/>
      <c r="K31" s="194" t="s">
        <v>404</v>
      </c>
      <c r="L31" s="179"/>
    </row>
    <row r="32" spans="1:12" s="218" customFormat="1" x14ac:dyDescent="0.25">
      <c r="A32" s="242"/>
      <c r="B32" s="243"/>
      <c r="C32" s="246">
        <f>SUM(C10:C31)</f>
        <v>14</v>
      </c>
      <c r="D32" s="246">
        <f>SUM(D10:D31)</f>
        <v>7</v>
      </c>
      <c r="E32" s="246">
        <f>SUM(E10:E31)</f>
        <v>0</v>
      </c>
      <c r="F32" s="246">
        <f>SUM(F10:F31)</f>
        <v>6</v>
      </c>
      <c r="G32" s="246">
        <f>SUM(G10:G31)</f>
        <v>15</v>
      </c>
      <c r="H32" s="245"/>
      <c r="I32" s="217"/>
      <c r="J32" s="215"/>
      <c r="K32" s="244"/>
      <c r="L32" s="208"/>
    </row>
    <row r="33" spans="1:12" x14ac:dyDescent="0.25">
      <c r="A33" s="351" t="s">
        <v>20</v>
      </c>
      <c r="B33" s="351"/>
      <c r="C33" s="351"/>
      <c r="D33" s="351"/>
      <c r="E33" s="351"/>
      <c r="F33" s="351"/>
      <c r="G33" s="351"/>
      <c r="H33" s="351"/>
      <c r="I33" s="351"/>
      <c r="J33" s="351"/>
      <c r="K33" s="351"/>
      <c r="L33" s="351"/>
    </row>
    <row r="34" spans="1:12" x14ac:dyDescent="0.25">
      <c r="A34" s="340" t="s">
        <v>24</v>
      </c>
      <c r="B34" s="340"/>
      <c r="C34" s="340"/>
      <c r="D34" s="340"/>
      <c r="E34" s="340"/>
      <c r="F34" s="340"/>
      <c r="G34" s="340"/>
      <c r="H34" s="340"/>
      <c r="I34" s="340"/>
      <c r="J34" s="340"/>
      <c r="K34" s="340"/>
      <c r="L34" s="340"/>
    </row>
    <row r="35" spans="1:12" x14ac:dyDescent="0.25">
      <c r="A35" s="340" t="s">
        <v>25</v>
      </c>
      <c r="B35" s="340"/>
      <c r="C35" s="340"/>
      <c r="D35" s="340"/>
      <c r="E35" s="340"/>
      <c r="F35" s="340"/>
      <c r="G35" s="340"/>
      <c r="H35" s="340"/>
      <c r="I35" s="340"/>
      <c r="J35" s="340"/>
      <c r="K35" s="340"/>
      <c r="L35" s="340"/>
    </row>
  </sheetData>
  <mergeCells count="20">
    <mergeCell ref="O8:O9"/>
    <mergeCell ref="A33:L33"/>
    <mergeCell ref="A34:L34"/>
    <mergeCell ref="A35:L35"/>
    <mergeCell ref="A7:L7"/>
    <mergeCell ref="A8:A9"/>
    <mergeCell ref="B8:B9"/>
    <mergeCell ref="C8:E8"/>
    <mergeCell ref="F8:G8"/>
    <mergeCell ref="H8:H9"/>
    <mergeCell ref="I8:I9"/>
    <mergeCell ref="J8:J9"/>
    <mergeCell ref="K8:K9"/>
    <mergeCell ref="L8:L9"/>
    <mergeCell ref="A6:L6"/>
    <mergeCell ref="A1:L1"/>
    <mergeCell ref="A2:L2"/>
    <mergeCell ref="A3:L3"/>
    <mergeCell ref="A4:L4"/>
    <mergeCell ref="A5:L5"/>
  </mergeCells>
  <dataValidations count="1">
    <dataValidation type="list" showInputMessage="1" showErrorMessage="1" promptTitle="VAL" sqref="H13" xr:uid="{00000000-0002-0000-0800-000000000000}">
      <formula1>VAL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4"/>
  <sheetViews>
    <sheetView topLeftCell="A14" workbookViewId="0">
      <selection activeCell="B30" sqref="B10:B30"/>
    </sheetView>
  </sheetViews>
  <sheetFormatPr defaultColWidth="9" defaultRowHeight="15.75" x14ac:dyDescent="0.25"/>
  <cols>
    <col min="1" max="1" width="5.42578125" style="219" customWidth="1"/>
    <col min="2" max="2" width="35.5703125" style="219" customWidth="1"/>
    <col min="3" max="3" width="12.5703125" style="219" customWidth="1"/>
    <col min="4" max="4" width="12.42578125" style="219" customWidth="1"/>
    <col min="5" max="5" width="13.7109375" style="219" customWidth="1"/>
    <col min="6" max="6" width="17" style="219" customWidth="1"/>
    <col min="7" max="7" width="19.140625" style="219" customWidth="1"/>
    <col min="8" max="8" width="44.42578125" style="219" customWidth="1"/>
    <col min="9" max="10" width="20" style="219" customWidth="1"/>
    <col min="11" max="11" width="18.85546875" style="219" customWidth="1"/>
    <col min="12" max="12" width="20.85546875" style="219" customWidth="1"/>
    <col min="13" max="16384" width="9" style="219"/>
  </cols>
  <sheetData>
    <row r="1" spans="1:15" ht="62.25" customHeight="1" x14ac:dyDescent="0.25">
      <c r="A1" s="352"/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</row>
    <row r="2" spans="1:15" x14ac:dyDescent="0.25">
      <c r="A2" s="338" t="s">
        <v>0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10"/>
    </row>
    <row r="3" spans="1:15" x14ac:dyDescent="0.25">
      <c r="A3" s="309" t="s">
        <v>81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172"/>
    </row>
    <row r="4" spans="1:15" x14ac:dyDescent="0.25">
      <c r="A4" s="339" t="s">
        <v>339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173"/>
      <c r="N4" s="173"/>
      <c r="O4" s="173"/>
    </row>
    <row r="5" spans="1:15" x14ac:dyDescent="0.25">
      <c r="A5" s="352"/>
      <c r="B5" s="352"/>
      <c r="C5" s="352"/>
      <c r="D5" s="352"/>
      <c r="E5" s="352"/>
      <c r="F5" s="352"/>
      <c r="G5" s="352"/>
      <c r="H5" s="352"/>
      <c r="I5" s="352"/>
      <c r="J5" s="352"/>
      <c r="K5" s="352"/>
      <c r="L5" s="352"/>
      <c r="M5" s="173"/>
      <c r="N5" s="173"/>
      <c r="O5" s="173"/>
    </row>
    <row r="6" spans="1:15" x14ac:dyDescent="0.25">
      <c r="A6" s="337" t="s">
        <v>528</v>
      </c>
      <c r="B6" s="312"/>
      <c r="C6" s="312"/>
      <c r="D6" s="312"/>
      <c r="E6" s="312"/>
      <c r="F6" s="312"/>
      <c r="G6" s="312"/>
      <c r="H6" s="312"/>
      <c r="I6" s="312"/>
      <c r="J6" s="312"/>
      <c r="K6" s="312"/>
      <c r="L6" s="312"/>
      <c r="M6" s="173"/>
      <c r="N6" s="173"/>
      <c r="O6" s="173"/>
    </row>
    <row r="7" spans="1:15" ht="16.5" thickBot="1" x14ac:dyDescent="0.3">
      <c r="A7" s="339" t="s">
        <v>340</v>
      </c>
      <c r="B7" s="339"/>
      <c r="C7" s="339"/>
      <c r="D7" s="339"/>
      <c r="E7" s="339"/>
      <c r="F7" s="339"/>
      <c r="G7" s="339"/>
      <c r="H7" s="339"/>
      <c r="I7" s="339"/>
      <c r="J7" s="339"/>
      <c r="K7" s="339"/>
      <c r="L7" s="339"/>
      <c r="M7" s="173"/>
    </row>
    <row r="8" spans="1:15" x14ac:dyDescent="0.25">
      <c r="A8" s="341" t="s">
        <v>341</v>
      </c>
      <c r="B8" s="343" t="s">
        <v>3</v>
      </c>
      <c r="C8" s="345" t="s">
        <v>4</v>
      </c>
      <c r="D8" s="346"/>
      <c r="E8" s="347"/>
      <c r="F8" s="348" t="s">
        <v>5</v>
      </c>
      <c r="G8" s="348"/>
      <c r="H8" s="343" t="s">
        <v>6</v>
      </c>
      <c r="I8" s="343" t="s">
        <v>7</v>
      </c>
      <c r="J8" s="343" t="s">
        <v>8</v>
      </c>
      <c r="K8" s="343" t="s">
        <v>9</v>
      </c>
      <c r="L8" s="349" t="s">
        <v>10</v>
      </c>
      <c r="O8" s="343"/>
    </row>
    <row r="9" spans="1:15" x14ac:dyDescent="0.25">
      <c r="A9" s="342"/>
      <c r="B9" s="344"/>
      <c r="C9" s="174" t="s">
        <v>13</v>
      </c>
      <c r="D9" s="174" t="s">
        <v>14</v>
      </c>
      <c r="E9" s="174" t="s">
        <v>15</v>
      </c>
      <c r="F9" s="175" t="s">
        <v>16</v>
      </c>
      <c r="G9" s="175" t="s">
        <v>17</v>
      </c>
      <c r="H9" s="344"/>
      <c r="I9" s="344"/>
      <c r="J9" s="344"/>
      <c r="K9" s="344"/>
      <c r="L9" s="350"/>
      <c r="O9" s="344"/>
    </row>
    <row r="10" spans="1:15" ht="31.5" x14ac:dyDescent="0.25">
      <c r="A10" s="193">
        <v>1</v>
      </c>
      <c r="B10" s="247" t="s">
        <v>440</v>
      </c>
      <c r="C10" s="182">
        <v>1</v>
      </c>
      <c r="D10" s="182"/>
      <c r="E10" s="182"/>
      <c r="F10" s="182"/>
      <c r="G10" s="182">
        <v>1</v>
      </c>
      <c r="H10" s="18" t="s">
        <v>441</v>
      </c>
      <c r="I10" s="7"/>
      <c r="J10" s="182"/>
      <c r="K10" s="194" t="s">
        <v>442</v>
      </c>
      <c r="L10" s="179"/>
    </row>
    <row r="11" spans="1:15" x14ac:dyDescent="0.25">
      <c r="A11" s="193">
        <v>2</v>
      </c>
      <c r="B11" s="247" t="s">
        <v>443</v>
      </c>
      <c r="C11" s="182">
        <v>1</v>
      </c>
      <c r="D11" s="182"/>
      <c r="E11" s="182"/>
      <c r="F11" s="182"/>
      <c r="G11" s="182">
        <v>1</v>
      </c>
      <c r="H11" s="18" t="s">
        <v>444</v>
      </c>
      <c r="I11" s="7"/>
      <c r="J11" s="182"/>
      <c r="K11" s="194" t="s">
        <v>442</v>
      </c>
      <c r="L11" s="179"/>
    </row>
    <row r="12" spans="1:15" ht="47.25" x14ac:dyDescent="0.25">
      <c r="A12" s="193">
        <v>3</v>
      </c>
      <c r="B12" s="248" t="s">
        <v>85</v>
      </c>
      <c r="C12" s="182">
        <v>1</v>
      </c>
      <c r="D12" s="182"/>
      <c r="E12" s="182"/>
      <c r="F12" s="182"/>
      <c r="G12" s="182">
        <v>1</v>
      </c>
      <c r="H12" s="249" t="s">
        <v>445</v>
      </c>
      <c r="I12" s="7"/>
      <c r="J12" s="182"/>
      <c r="K12" s="194" t="s">
        <v>442</v>
      </c>
      <c r="L12" s="179"/>
    </row>
    <row r="13" spans="1:15" ht="47.25" x14ac:dyDescent="0.25">
      <c r="A13" s="193">
        <v>4</v>
      </c>
      <c r="B13" s="247" t="s">
        <v>446</v>
      </c>
      <c r="C13" s="182">
        <v>1</v>
      </c>
      <c r="D13" s="182"/>
      <c r="E13" s="182"/>
      <c r="F13" s="182"/>
      <c r="G13" s="182">
        <v>1</v>
      </c>
      <c r="H13" s="18" t="s">
        <v>447</v>
      </c>
      <c r="I13" s="7"/>
      <c r="J13" s="182"/>
      <c r="K13" s="194" t="s">
        <v>442</v>
      </c>
      <c r="L13" s="179"/>
    </row>
    <row r="14" spans="1:15" ht="31.5" x14ac:dyDescent="0.25">
      <c r="A14" s="193">
        <v>5</v>
      </c>
      <c r="B14" s="248" t="s">
        <v>448</v>
      </c>
      <c r="C14" s="182"/>
      <c r="D14" s="182"/>
      <c r="E14" s="182"/>
      <c r="F14" s="182"/>
      <c r="G14" s="182"/>
      <c r="H14" s="249" t="s">
        <v>449</v>
      </c>
      <c r="I14" s="7"/>
      <c r="J14" s="182"/>
      <c r="K14" s="194" t="s">
        <v>442</v>
      </c>
      <c r="L14" s="179"/>
    </row>
    <row r="15" spans="1:15" ht="47.25" x14ac:dyDescent="0.25">
      <c r="A15" s="193">
        <v>6</v>
      </c>
      <c r="B15" s="247" t="s">
        <v>450</v>
      </c>
      <c r="C15" s="182"/>
      <c r="D15" s="182">
        <v>1</v>
      </c>
      <c r="E15" s="182"/>
      <c r="F15" s="182">
        <v>1</v>
      </c>
      <c r="G15" s="182"/>
      <c r="H15" s="18" t="s">
        <v>451</v>
      </c>
      <c r="I15" s="7"/>
      <c r="J15" s="182"/>
      <c r="K15" s="194" t="s">
        <v>442</v>
      </c>
      <c r="L15" s="179"/>
    </row>
    <row r="16" spans="1:15" x14ac:dyDescent="0.25">
      <c r="A16" s="193">
        <v>7</v>
      </c>
      <c r="B16" s="248" t="s">
        <v>61</v>
      </c>
      <c r="C16" s="182"/>
      <c r="D16" s="182">
        <v>1</v>
      </c>
      <c r="E16" s="182"/>
      <c r="F16" s="182">
        <v>1</v>
      </c>
      <c r="G16" s="182"/>
      <c r="H16" s="249" t="s">
        <v>452</v>
      </c>
      <c r="I16" s="7"/>
      <c r="J16" s="182"/>
      <c r="K16" s="194" t="s">
        <v>442</v>
      </c>
      <c r="L16" s="179"/>
    </row>
    <row r="17" spans="1:12" x14ac:dyDescent="0.25">
      <c r="A17" s="193">
        <v>8</v>
      </c>
      <c r="B17" s="247" t="s">
        <v>453</v>
      </c>
      <c r="C17" s="182"/>
      <c r="D17" s="182">
        <v>1</v>
      </c>
      <c r="E17" s="182"/>
      <c r="F17" s="182">
        <v>1</v>
      </c>
      <c r="G17" s="182"/>
      <c r="H17" s="18" t="s">
        <v>106</v>
      </c>
      <c r="I17" s="7"/>
      <c r="J17" s="182"/>
      <c r="K17" s="194" t="s">
        <v>442</v>
      </c>
      <c r="L17" s="179"/>
    </row>
    <row r="18" spans="1:12" x14ac:dyDescent="0.25">
      <c r="A18" s="193">
        <v>9</v>
      </c>
      <c r="B18" s="202" t="s">
        <v>454</v>
      </c>
      <c r="C18" s="182"/>
      <c r="D18" s="182"/>
      <c r="E18" s="182"/>
      <c r="F18" s="182"/>
      <c r="G18" s="182"/>
      <c r="H18" s="18" t="s">
        <v>455</v>
      </c>
      <c r="I18" s="7"/>
      <c r="J18" s="182"/>
      <c r="K18" s="194" t="s">
        <v>442</v>
      </c>
      <c r="L18" s="179"/>
    </row>
    <row r="19" spans="1:12" x14ac:dyDescent="0.25">
      <c r="A19" s="193">
        <v>10</v>
      </c>
      <c r="B19" s="247" t="s">
        <v>456</v>
      </c>
      <c r="C19" s="182">
        <v>1</v>
      </c>
      <c r="D19" s="182"/>
      <c r="E19" s="182"/>
      <c r="F19" s="182"/>
      <c r="G19" s="182">
        <v>1</v>
      </c>
      <c r="H19" s="18" t="s">
        <v>457</v>
      </c>
      <c r="I19" s="7"/>
      <c r="J19" s="182"/>
      <c r="K19" s="194" t="s">
        <v>442</v>
      </c>
      <c r="L19" s="179"/>
    </row>
    <row r="20" spans="1:12" s="229" customFormat="1" x14ac:dyDescent="0.25">
      <c r="A20" s="193">
        <v>11</v>
      </c>
      <c r="B20" s="235" t="s">
        <v>458</v>
      </c>
      <c r="C20" s="195">
        <v>1</v>
      </c>
      <c r="D20" s="195"/>
      <c r="E20" s="228"/>
      <c r="F20" s="195"/>
      <c r="G20" s="195">
        <v>1</v>
      </c>
      <c r="H20" s="250" t="s">
        <v>459</v>
      </c>
      <c r="I20" s="228"/>
      <c r="J20" s="228"/>
      <c r="K20" s="194" t="s">
        <v>442</v>
      </c>
      <c r="L20" s="187"/>
    </row>
    <row r="21" spans="1:12" x14ac:dyDescent="0.25">
      <c r="A21" s="193">
        <v>12</v>
      </c>
      <c r="B21" s="247" t="s">
        <v>460</v>
      </c>
      <c r="C21" s="195">
        <v>1</v>
      </c>
      <c r="D21" s="182"/>
      <c r="E21" s="182"/>
      <c r="F21" s="182"/>
      <c r="G21" s="195">
        <v>1</v>
      </c>
      <c r="H21" s="202" t="s">
        <v>461</v>
      </c>
      <c r="I21" s="7"/>
      <c r="J21" s="182"/>
      <c r="K21" s="194" t="s">
        <v>442</v>
      </c>
      <c r="L21" s="179"/>
    </row>
    <row r="22" spans="1:12" x14ac:dyDescent="0.25">
      <c r="A22" s="193">
        <v>13</v>
      </c>
      <c r="B22" s="202" t="s">
        <v>462</v>
      </c>
      <c r="C22" s="182">
        <v>1</v>
      </c>
      <c r="D22" s="182"/>
      <c r="E22" s="182"/>
      <c r="F22" s="182"/>
      <c r="G22" s="182">
        <v>1</v>
      </c>
      <c r="H22" s="249" t="s">
        <v>463</v>
      </c>
      <c r="I22" s="7"/>
      <c r="J22" s="182"/>
      <c r="K22" s="194" t="s">
        <v>442</v>
      </c>
      <c r="L22" s="179"/>
    </row>
    <row r="23" spans="1:12" ht="47.25" x14ac:dyDescent="0.25">
      <c r="A23" s="193">
        <v>14</v>
      </c>
      <c r="B23" s="114" t="s">
        <v>464</v>
      </c>
      <c r="C23" s="182">
        <v>1</v>
      </c>
      <c r="D23" s="182"/>
      <c r="E23" s="182"/>
      <c r="F23" s="182"/>
      <c r="G23" s="182">
        <v>1</v>
      </c>
      <c r="H23" s="18" t="s">
        <v>465</v>
      </c>
      <c r="I23" s="7"/>
      <c r="J23" s="182"/>
      <c r="K23" s="194" t="s">
        <v>442</v>
      </c>
      <c r="L23" s="179"/>
    </row>
    <row r="24" spans="1:12" x14ac:dyDescent="0.25">
      <c r="A24" s="193">
        <v>15</v>
      </c>
      <c r="B24" s="236" t="s">
        <v>466</v>
      </c>
      <c r="C24" s="182">
        <v>1</v>
      </c>
      <c r="D24" s="182"/>
      <c r="E24" s="182"/>
      <c r="F24" s="182"/>
      <c r="G24" s="182">
        <v>1</v>
      </c>
      <c r="H24" s="251" t="s">
        <v>467</v>
      </c>
      <c r="I24" s="7"/>
      <c r="J24" s="182"/>
      <c r="K24" s="194" t="s">
        <v>442</v>
      </c>
      <c r="L24" s="179"/>
    </row>
    <row r="25" spans="1:12" ht="31.5" x14ac:dyDescent="0.25">
      <c r="A25" s="193">
        <v>16</v>
      </c>
      <c r="B25" s="202" t="s">
        <v>468</v>
      </c>
      <c r="C25" s="182">
        <v>1</v>
      </c>
      <c r="D25" s="182"/>
      <c r="E25" s="182"/>
      <c r="F25" s="182"/>
      <c r="G25" s="182">
        <v>1</v>
      </c>
      <c r="H25" s="85" t="s">
        <v>469</v>
      </c>
      <c r="I25" s="7"/>
      <c r="J25" s="182"/>
      <c r="K25" s="194" t="s">
        <v>442</v>
      </c>
      <c r="L25" s="179"/>
    </row>
    <row r="26" spans="1:12" ht="31.5" x14ac:dyDescent="0.25">
      <c r="A26" s="195">
        <v>17</v>
      </c>
      <c r="B26" s="202" t="s">
        <v>470</v>
      </c>
      <c r="C26" s="182">
        <v>1</v>
      </c>
      <c r="D26" s="182"/>
      <c r="E26" s="182"/>
      <c r="F26" s="182"/>
      <c r="G26" s="182">
        <v>1</v>
      </c>
      <c r="H26" s="85" t="s">
        <v>471</v>
      </c>
      <c r="I26" s="7"/>
      <c r="J26" s="182"/>
      <c r="K26" s="194" t="s">
        <v>442</v>
      </c>
      <c r="L26" s="179"/>
    </row>
    <row r="27" spans="1:12" x14ac:dyDescent="0.25">
      <c r="A27" s="195">
        <v>18</v>
      </c>
      <c r="B27" s="202" t="s">
        <v>135</v>
      </c>
      <c r="C27" s="182">
        <v>1</v>
      </c>
      <c r="D27" s="182"/>
      <c r="E27" s="182"/>
      <c r="F27" s="182"/>
      <c r="G27" s="182">
        <v>1</v>
      </c>
      <c r="H27" s="18" t="s">
        <v>467</v>
      </c>
      <c r="I27" s="7"/>
      <c r="J27" s="182"/>
      <c r="K27" s="194" t="s">
        <v>442</v>
      </c>
      <c r="L27" s="179"/>
    </row>
    <row r="28" spans="1:12" ht="31.5" x14ac:dyDescent="0.25">
      <c r="A28" s="195">
        <v>19</v>
      </c>
      <c r="B28" s="221" t="s">
        <v>472</v>
      </c>
      <c r="C28" s="182">
        <v>1</v>
      </c>
      <c r="D28" s="182"/>
      <c r="E28" s="182"/>
      <c r="F28" s="182"/>
      <c r="G28" s="182">
        <v>1</v>
      </c>
      <c r="H28" s="252" t="s">
        <v>473</v>
      </c>
      <c r="I28" s="7"/>
      <c r="J28" s="182"/>
      <c r="K28" s="194" t="s">
        <v>442</v>
      </c>
      <c r="L28" s="179"/>
    </row>
    <row r="29" spans="1:12" ht="47.25" x14ac:dyDescent="0.25">
      <c r="A29" s="193">
        <v>20</v>
      </c>
      <c r="B29" s="253" t="s">
        <v>474</v>
      </c>
      <c r="C29" s="182">
        <v>1</v>
      </c>
      <c r="D29" s="182"/>
      <c r="E29" s="182"/>
      <c r="F29" s="182"/>
      <c r="G29" s="182">
        <v>1</v>
      </c>
      <c r="H29" s="18" t="s">
        <v>475</v>
      </c>
      <c r="I29" s="7"/>
      <c r="J29" s="182"/>
      <c r="K29" s="194" t="s">
        <v>442</v>
      </c>
      <c r="L29" s="179"/>
    </row>
    <row r="30" spans="1:12" x14ac:dyDescent="0.25">
      <c r="A30" s="195">
        <v>21</v>
      </c>
      <c r="B30" s="253" t="s">
        <v>26</v>
      </c>
      <c r="C30" s="182">
        <v>1</v>
      </c>
      <c r="D30" s="182"/>
      <c r="E30" s="182"/>
      <c r="F30" s="182"/>
      <c r="G30" s="182">
        <v>1</v>
      </c>
      <c r="H30" s="254" t="s">
        <v>476</v>
      </c>
      <c r="I30" s="7"/>
      <c r="J30" s="182"/>
      <c r="K30" s="194" t="s">
        <v>442</v>
      </c>
      <c r="L30" s="179"/>
    </row>
    <row r="31" spans="1:12" s="227" customFormat="1" x14ac:dyDescent="0.25">
      <c r="A31" s="242">
        <v>22</v>
      </c>
      <c r="B31" s="243"/>
      <c r="C31" s="246">
        <f>SUM(C10:C30)</f>
        <v>16</v>
      </c>
      <c r="D31" s="246">
        <f>SUM(D10:D30)</f>
        <v>3</v>
      </c>
      <c r="E31" s="246">
        <f>SUM(E10:E30)</f>
        <v>0</v>
      </c>
      <c r="F31" s="246">
        <f>SUM(F10:F30)</f>
        <v>3</v>
      </c>
      <c r="G31" s="246">
        <f>SUM(G10:G30)</f>
        <v>16</v>
      </c>
      <c r="H31" s="255"/>
      <c r="I31" s="217"/>
      <c r="J31" s="215"/>
      <c r="K31" s="244" t="s">
        <v>442</v>
      </c>
      <c r="L31" s="208"/>
    </row>
    <row r="32" spans="1:12" x14ac:dyDescent="0.25">
      <c r="A32" s="351" t="s">
        <v>20</v>
      </c>
      <c r="B32" s="351"/>
      <c r="C32" s="351"/>
      <c r="D32" s="351"/>
      <c r="E32" s="351"/>
      <c r="F32" s="351"/>
      <c r="G32" s="351"/>
      <c r="H32" s="351"/>
      <c r="I32" s="351"/>
      <c r="J32" s="351"/>
      <c r="K32" s="351"/>
      <c r="L32" s="351"/>
    </row>
    <row r="33" spans="1:12" x14ac:dyDescent="0.25">
      <c r="A33" s="340" t="s">
        <v>24</v>
      </c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</row>
    <row r="34" spans="1:12" x14ac:dyDescent="0.25">
      <c r="A34" s="340" t="s">
        <v>25</v>
      </c>
      <c r="B34" s="340"/>
      <c r="C34" s="340"/>
      <c r="D34" s="340"/>
      <c r="E34" s="340"/>
      <c r="F34" s="340"/>
      <c r="G34" s="340"/>
      <c r="H34" s="340"/>
      <c r="I34" s="340"/>
      <c r="J34" s="340"/>
      <c r="K34" s="340"/>
      <c r="L34" s="340"/>
    </row>
  </sheetData>
  <mergeCells count="20">
    <mergeCell ref="O8:O9"/>
    <mergeCell ref="A32:L32"/>
    <mergeCell ref="A33:L33"/>
    <mergeCell ref="A34:L34"/>
    <mergeCell ref="A7:L7"/>
    <mergeCell ref="A8:A9"/>
    <mergeCell ref="B8:B9"/>
    <mergeCell ref="C8:E8"/>
    <mergeCell ref="F8:G8"/>
    <mergeCell ref="H8:H9"/>
    <mergeCell ref="I8:I9"/>
    <mergeCell ref="J8:J9"/>
    <mergeCell ref="K8:K9"/>
    <mergeCell ref="L8:L9"/>
    <mergeCell ref="A6:L6"/>
    <mergeCell ref="A1:L1"/>
    <mergeCell ref="A2:L2"/>
    <mergeCell ref="A3:L3"/>
    <mergeCell ref="A4:L4"/>
    <mergeCell ref="A5:L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8"/>
  <sheetViews>
    <sheetView workbookViewId="0">
      <selection activeCell="B10" sqref="B10:B14"/>
    </sheetView>
  </sheetViews>
  <sheetFormatPr defaultColWidth="9" defaultRowHeight="15.75" x14ac:dyDescent="0.25"/>
  <cols>
    <col min="1" max="1" width="5.42578125" style="10" customWidth="1"/>
    <col min="2" max="2" width="35.5703125" style="10" customWidth="1"/>
    <col min="3" max="3" width="12.5703125" style="10" customWidth="1"/>
    <col min="4" max="4" width="12.42578125" style="10" customWidth="1"/>
    <col min="5" max="5" width="13.7109375" style="10" customWidth="1"/>
    <col min="6" max="6" width="17" style="10" customWidth="1"/>
    <col min="7" max="7" width="19.140625" style="10" customWidth="1"/>
    <col min="8" max="8" width="44.42578125" style="10" customWidth="1"/>
    <col min="9" max="10" width="20" style="10" customWidth="1"/>
    <col min="11" max="11" width="18.85546875" style="10" customWidth="1"/>
    <col min="12" max="12" width="20.85546875" style="10" customWidth="1"/>
    <col min="13" max="16384" width="9" style="10"/>
  </cols>
  <sheetData>
    <row r="1" spans="1:15" ht="64.5" customHeight="1" x14ac:dyDescent="0.25">
      <c r="A1" s="338"/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</row>
    <row r="2" spans="1:15" x14ac:dyDescent="0.25">
      <c r="A2" s="338" t="s">
        <v>0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</row>
    <row r="3" spans="1:15" x14ac:dyDescent="0.25">
      <c r="A3" s="309" t="s">
        <v>81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172"/>
    </row>
    <row r="4" spans="1:15" x14ac:dyDescent="0.25">
      <c r="A4" s="339" t="s">
        <v>339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173"/>
      <c r="N4" s="173"/>
      <c r="O4" s="173"/>
    </row>
    <row r="5" spans="1:15" x14ac:dyDescent="0.25">
      <c r="A5" s="338"/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173"/>
      <c r="N5" s="173"/>
      <c r="O5" s="173"/>
    </row>
    <row r="6" spans="1:15" x14ac:dyDescent="0.25">
      <c r="A6" s="337" t="s">
        <v>477</v>
      </c>
      <c r="B6" s="312"/>
      <c r="C6" s="312"/>
      <c r="D6" s="312"/>
      <c r="E6" s="312"/>
      <c r="F6" s="312"/>
      <c r="G6" s="312"/>
      <c r="H6" s="312"/>
      <c r="I6" s="312"/>
      <c r="J6" s="312"/>
      <c r="K6" s="312"/>
      <c r="L6" s="312"/>
      <c r="M6" s="173"/>
      <c r="N6" s="173"/>
      <c r="O6" s="173"/>
    </row>
    <row r="7" spans="1:15" ht="16.5" thickBot="1" x14ac:dyDescent="0.3">
      <c r="A7" s="339" t="s">
        <v>340</v>
      </c>
      <c r="B7" s="339"/>
      <c r="C7" s="339"/>
      <c r="D7" s="339"/>
      <c r="E7" s="339"/>
      <c r="F7" s="339"/>
      <c r="G7" s="339"/>
      <c r="H7" s="339"/>
      <c r="I7" s="339"/>
      <c r="J7" s="339"/>
      <c r="K7" s="339"/>
      <c r="L7" s="339"/>
      <c r="M7" s="173"/>
    </row>
    <row r="8" spans="1:15" x14ac:dyDescent="0.25">
      <c r="A8" s="341" t="s">
        <v>341</v>
      </c>
      <c r="B8" s="343" t="s">
        <v>3</v>
      </c>
      <c r="C8" s="345" t="s">
        <v>4</v>
      </c>
      <c r="D8" s="346"/>
      <c r="E8" s="347"/>
      <c r="F8" s="348" t="s">
        <v>5</v>
      </c>
      <c r="G8" s="348"/>
      <c r="H8" s="343" t="s">
        <v>6</v>
      </c>
      <c r="I8" s="343" t="s">
        <v>7</v>
      </c>
      <c r="J8" s="343" t="s">
        <v>8</v>
      </c>
      <c r="K8" s="343" t="s">
        <v>9</v>
      </c>
      <c r="L8" s="349" t="s">
        <v>10</v>
      </c>
      <c r="O8" s="343"/>
    </row>
    <row r="9" spans="1:15" x14ac:dyDescent="0.25">
      <c r="A9" s="342"/>
      <c r="B9" s="344"/>
      <c r="C9" s="174" t="s">
        <v>13</v>
      </c>
      <c r="D9" s="174" t="s">
        <v>14</v>
      </c>
      <c r="E9" s="174" t="s">
        <v>15</v>
      </c>
      <c r="F9" s="175" t="s">
        <v>16</v>
      </c>
      <c r="G9" s="175" t="s">
        <v>17</v>
      </c>
      <c r="H9" s="344"/>
      <c r="I9" s="344"/>
      <c r="J9" s="344"/>
      <c r="K9" s="344"/>
      <c r="L9" s="350"/>
      <c r="O9" s="344"/>
    </row>
    <row r="10" spans="1:15" x14ac:dyDescent="0.25">
      <c r="A10" s="193">
        <v>1</v>
      </c>
      <c r="B10" s="13" t="s">
        <v>478</v>
      </c>
      <c r="C10" s="194">
        <v>1</v>
      </c>
      <c r="D10" s="194"/>
      <c r="E10" s="194"/>
      <c r="F10" s="194"/>
      <c r="G10" s="194">
        <v>1</v>
      </c>
      <c r="H10" s="55" t="s">
        <v>479</v>
      </c>
      <c r="I10" s="7"/>
      <c r="J10" s="182"/>
      <c r="K10" s="194" t="s">
        <v>480</v>
      </c>
      <c r="L10" s="179"/>
    </row>
    <row r="11" spans="1:15" x14ac:dyDescent="0.25">
      <c r="A11" s="193">
        <v>2</v>
      </c>
      <c r="B11" s="13" t="s">
        <v>481</v>
      </c>
      <c r="C11" s="194">
        <v>1</v>
      </c>
      <c r="D11" s="194"/>
      <c r="E11" s="194"/>
      <c r="F11" s="194"/>
      <c r="G11" s="194">
        <v>1</v>
      </c>
      <c r="H11" s="42" t="s">
        <v>482</v>
      </c>
      <c r="I11" s="7"/>
      <c r="J11" s="182"/>
      <c r="K11" s="194" t="s">
        <v>480</v>
      </c>
      <c r="L11" s="179"/>
    </row>
    <row r="12" spans="1:15" x14ac:dyDescent="0.25">
      <c r="A12" s="193">
        <v>3</v>
      </c>
      <c r="B12" s="13" t="s">
        <v>150</v>
      </c>
      <c r="C12" s="194">
        <v>1</v>
      </c>
      <c r="D12" s="194"/>
      <c r="E12" s="194"/>
      <c r="F12" s="194"/>
      <c r="G12" s="194">
        <v>1</v>
      </c>
      <c r="H12" s="43" t="s">
        <v>483</v>
      </c>
      <c r="I12" s="7"/>
      <c r="J12" s="182"/>
      <c r="K12" s="194" t="s">
        <v>480</v>
      </c>
      <c r="L12" s="179"/>
    </row>
    <row r="13" spans="1:15" x14ac:dyDescent="0.25">
      <c r="A13" s="193">
        <v>4</v>
      </c>
      <c r="B13" s="13" t="s">
        <v>34</v>
      </c>
      <c r="C13" s="194">
        <v>1</v>
      </c>
      <c r="D13" s="194"/>
      <c r="E13" s="194"/>
      <c r="F13" s="194"/>
      <c r="G13" s="194">
        <v>1</v>
      </c>
      <c r="H13" s="49" t="s">
        <v>484</v>
      </c>
      <c r="I13" s="7"/>
      <c r="J13" s="182"/>
      <c r="K13" s="194" t="s">
        <v>480</v>
      </c>
      <c r="L13" s="179"/>
    </row>
    <row r="14" spans="1:15" ht="31.5" x14ac:dyDescent="0.25">
      <c r="A14" s="195">
        <v>5</v>
      </c>
      <c r="B14" s="13" t="s">
        <v>485</v>
      </c>
      <c r="C14" s="194"/>
      <c r="D14" s="194">
        <v>1</v>
      </c>
      <c r="E14" s="194"/>
      <c r="F14" s="194">
        <v>1</v>
      </c>
      <c r="G14" s="194"/>
      <c r="H14" s="93" t="s">
        <v>486</v>
      </c>
      <c r="I14" s="7"/>
      <c r="J14" s="182"/>
      <c r="K14" s="194" t="s">
        <v>480</v>
      </c>
      <c r="L14" s="179"/>
    </row>
    <row r="15" spans="1:15" s="218" customFormat="1" x14ac:dyDescent="0.25">
      <c r="A15" s="256"/>
      <c r="B15" s="257"/>
      <c r="C15" s="127">
        <f>SUM(C1:C14)</f>
        <v>4</v>
      </c>
      <c r="D15" s="127">
        <f>SUM(D1:D14)</f>
        <v>1</v>
      </c>
      <c r="E15" s="127">
        <f>SUM(E1:E14)</f>
        <v>0</v>
      </c>
      <c r="F15" s="127">
        <f>SUM(F1:F14)</f>
        <v>1</v>
      </c>
      <c r="G15" s="127">
        <f>SUM(G1:G14)</f>
        <v>4</v>
      </c>
      <c r="H15" s="258"/>
      <c r="J15" s="259"/>
      <c r="K15" s="260"/>
      <c r="L15" s="259"/>
    </row>
    <row r="16" spans="1:15" x14ac:dyDescent="0.25">
      <c r="A16" s="351" t="s">
        <v>20</v>
      </c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351"/>
    </row>
    <row r="17" spans="1:12" x14ac:dyDescent="0.25">
      <c r="A17" s="340" t="s">
        <v>24</v>
      </c>
      <c r="B17" s="340"/>
      <c r="C17" s="340"/>
      <c r="D17" s="340"/>
      <c r="E17" s="340"/>
      <c r="F17" s="340"/>
      <c r="G17" s="340"/>
      <c r="H17" s="340"/>
      <c r="I17" s="340"/>
      <c r="J17" s="340"/>
      <c r="K17" s="340"/>
      <c r="L17" s="340"/>
    </row>
    <row r="18" spans="1:12" x14ac:dyDescent="0.25">
      <c r="A18" s="340" t="s">
        <v>25</v>
      </c>
      <c r="B18" s="340"/>
      <c r="C18" s="340"/>
      <c r="D18" s="340"/>
      <c r="E18" s="340"/>
      <c r="F18" s="340"/>
      <c r="G18" s="340"/>
      <c r="H18" s="340"/>
      <c r="I18" s="340"/>
      <c r="J18" s="340"/>
      <c r="K18" s="340"/>
      <c r="L18" s="340"/>
    </row>
  </sheetData>
  <mergeCells count="20">
    <mergeCell ref="O8:O9"/>
    <mergeCell ref="A16:L16"/>
    <mergeCell ref="A17:L17"/>
    <mergeCell ref="A18:L18"/>
    <mergeCell ref="A7:L7"/>
    <mergeCell ref="A8:A9"/>
    <mergeCell ref="B8:B9"/>
    <mergeCell ref="C8:E8"/>
    <mergeCell ref="F8:G8"/>
    <mergeCell ref="H8:H9"/>
    <mergeCell ref="I8:I9"/>
    <mergeCell ref="J8:J9"/>
    <mergeCell ref="K8:K9"/>
    <mergeCell ref="L8:L9"/>
    <mergeCell ref="A6:L6"/>
    <mergeCell ref="A1:L1"/>
    <mergeCell ref="A2:L2"/>
    <mergeCell ref="A3:L3"/>
    <mergeCell ref="A4:L4"/>
    <mergeCell ref="A5:L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6"/>
  <sheetViews>
    <sheetView topLeftCell="A4" workbookViewId="0">
      <selection activeCell="B10" sqref="B10:B22"/>
    </sheetView>
  </sheetViews>
  <sheetFormatPr defaultColWidth="9" defaultRowHeight="15" x14ac:dyDescent="0.25"/>
  <cols>
    <col min="1" max="1" width="5.42578125" customWidth="1"/>
    <col min="2" max="2" width="35.5703125" customWidth="1"/>
    <col min="3" max="3" width="12.5703125" customWidth="1"/>
    <col min="4" max="4" width="12.42578125" customWidth="1"/>
    <col min="5" max="5" width="13.7109375" customWidth="1"/>
    <col min="6" max="6" width="17" customWidth="1"/>
    <col min="7" max="7" width="19.140625" customWidth="1"/>
    <col min="8" max="8" width="44.42578125" customWidth="1"/>
    <col min="9" max="10" width="20" customWidth="1"/>
    <col min="11" max="11" width="18.85546875" customWidth="1"/>
    <col min="12" max="12" width="20.85546875" customWidth="1"/>
  </cols>
  <sheetData>
    <row r="1" spans="1:15" ht="62.25" customHeight="1" x14ac:dyDescent="0.25">
      <c r="A1" s="353"/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</row>
    <row r="2" spans="1:15" ht="15.75" x14ac:dyDescent="0.25">
      <c r="A2" s="338" t="s">
        <v>0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10"/>
    </row>
    <row r="3" spans="1:15" ht="15.75" x14ac:dyDescent="0.25">
      <c r="A3" s="309" t="s">
        <v>81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172"/>
    </row>
    <row r="4" spans="1:15" ht="15.75" x14ac:dyDescent="0.25">
      <c r="A4" s="339" t="s">
        <v>339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173"/>
      <c r="N4" s="173"/>
      <c r="O4" s="173"/>
    </row>
    <row r="5" spans="1:15" ht="15.75" x14ac:dyDescent="0.25">
      <c r="A5" s="353"/>
      <c r="B5" s="353"/>
      <c r="C5" s="353"/>
      <c r="D5" s="353"/>
      <c r="E5" s="353"/>
      <c r="F5" s="353"/>
      <c r="G5" s="353"/>
      <c r="H5" s="353"/>
      <c r="I5" s="353"/>
      <c r="J5" s="353"/>
      <c r="K5" s="353"/>
      <c r="L5" s="353"/>
      <c r="M5" s="173"/>
      <c r="N5" s="173"/>
      <c r="O5" s="173"/>
    </row>
    <row r="6" spans="1:15" ht="15.75" x14ac:dyDescent="0.25">
      <c r="A6" s="337" t="s">
        <v>487</v>
      </c>
      <c r="B6" s="312"/>
      <c r="C6" s="312"/>
      <c r="D6" s="312"/>
      <c r="E6" s="312"/>
      <c r="F6" s="312"/>
      <c r="G6" s="312"/>
      <c r="H6" s="312"/>
      <c r="I6" s="312"/>
      <c r="J6" s="312"/>
      <c r="K6" s="312"/>
      <c r="L6" s="312"/>
      <c r="M6" s="173"/>
      <c r="N6" s="173"/>
      <c r="O6" s="173"/>
    </row>
    <row r="7" spans="1:15" ht="16.5" thickBot="1" x14ac:dyDescent="0.3">
      <c r="A7" s="339" t="s">
        <v>340</v>
      </c>
      <c r="B7" s="339"/>
      <c r="C7" s="339"/>
      <c r="D7" s="339"/>
      <c r="E7" s="339"/>
      <c r="F7" s="339"/>
      <c r="G7" s="339"/>
      <c r="H7" s="339"/>
      <c r="I7" s="339"/>
      <c r="J7" s="339"/>
      <c r="K7" s="339"/>
      <c r="L7" s="339"/>
      <c r="M7" s="173"/>
    </row>
    <row r="8" spans="1:15" ht="15.75" x14ac:dyDescent="0.25">
      <c r="A8" s="341" t="s">
        <v>341</v>
      </c>
      <c r="B8" s="343" t="s">
        <v>3</v>
      </c>
      <c r="C8" s="345" t="s">
        <v>4</v>
      </c>
      <c r="D8" s="346"/>
      <c r="E8" s="347"/>
      <c r="F8" s="348" t="s">
        <v>5</v>
      </c>
      <c r="G8" s="348"/>
      <c r="H8" s="343" t="s">
        <v>6</v>
      </c>
      <c r="I8" s="343" t="s">
        <v>7</v>
      </c>
      <c r="J8" s="343" t="s">
        <v>8</v>
      </c>
      <c r="K8" s="343" t="s">
        <v>9</v>
      </c>
      <c r="L8" s="349" t="s">
        <v>10</v>
      </c>
      <c r="O8" s="343"/>
    </row>
    <row r="9" spans="1:15" ht="15.75" x14ac:dyDescent="0.25">
      <c r="A9" s="342"/>
      <c r="B9" s="344"/>
      <c r="C9" s="174" t="s">
        <v>13</v>
      </c>
      <c r="D9" s="174" t="s">
        <v>14</v>
      </c>
      <c r="E9" s="174" t="s">
        <v>15</v>
      </c>
      <c r="F9" s="175" t="s">
        <v>16</v>
      </c>
      <c r="G9" s="175" t="s">
        <v>17</v>
      </c>
      <c r="H9" s="344"/>
      <c r="I9" s="344"/>
      <c r="J9" s="344"/>
      <c r="K9" s="344"/>
      <c r="L9" s="350"/>
      <c r="O9" s="344"/>
    </row>
    <row r="10" spans="1:15" ht="15.75" x14ac:dyDescent="0.3">
      <c r="A10" s="192">
        <v>1</v>
      </c>
      <c r="B10" s="184" t="s">
        <v>488</v>
      </c>
      <c r="C10" s="185">
        <v>1</v>
      </c>
      <c r="D10" s="185"/>
      <c r="E10" s="185"/>
      <c r="F10" s="185"/>
      <c r="G10" s="185">
        <v>1</v>
      </c>
      <c r="H10" s="196" t="s">
        <v>489</v>
      </c>
      <c r="I10" s="178"/>
      <c r="J10" s="177"/>
      <c r="K10" s="185" t="s">
        <v>490</v>
      </c>
      <c r="L10" s="191"/>
    </row>
    <row r="11" spans="1:15" ht="30" x14ac:dyDescent="0.3">
      <c r="A11" s="192">
        <v>2</v>
      </c>
      <c r="B11" s="184" t="s">
        <v>137</v>
      </c>
      <c r="C11" s="185">
        <v>1</v>
      </c>
      <c r="D11" s="185"/>
      <c r="E11" s="185"/>
      <c r="F11" s="185"/>
      <c r="G11" s="185">
        <v>1</v>
      </c>
      <c r="H11" s="196" t="s">
        <v>491</v>
      </c>
      <c r="I11" s="178"/>
      <c r="J11" s="177"/>
      <c r="K11" s="185"/>
      <c r="L11" s="191"/>
    </row>
    <row r="12" spans="1:15" ht="30" x14ac:dyDescent="0.3">
      <c r="A12" s="192">
        <v>3</v>
      </c>
      <c r="B12" s="184" t="s">
        <v>143</v>
      </c>
      <c r="C12" s="185">
        <v>1</v>
      </c>
      <c r="D12" s="185"/>
      <c r="E12" s="185"/>
      <c r="F12" s="185"/>
      <c r="G12" s="185">
        <v>1</v>
      </c>
      <c r="H12" s="196" t="s">
        <v>492</v>
      </c>
      <c r="I12" s="178"/>
      <c r="J12" s="177"/>
      <c r="K12" s="185"/>
      <c r="L12" s="191"/>
    </row>
    <row r="13" spans="1:15" ht="15.75" x14ac:dyDescent="0.3">
      <c r="A13" s="192">
        <v>4</v>
      </c>
      <c r="B13" s="184" t="s">
        <v>368</v>
      </c>
      <c r="C13" s="185">
        <v>1</v>
      </c>
      <c r="D13" s="185"/>
      <c r="E13" s="185"/>
      <c r="F13" s="185"/>
      <c r="G13" s="185">
        <v>1</v>
      </c>
      <c r="H13" s="196" t="s">
        <v>493</v>
      </c>
      <c r="I13" s="178"/>
      <c r="J13" s="177"/>
      <c r="K13" s="185"/>
      <c r="L13" s="191"/>
    </row>
    <row r="14" spans="1:15" ht="30" x14ac:dyDescent="0.3">
      <c r="A14" s="192">
        <v>5</v>
      </c>
      <c r="B14" s="184" t="s">
        <v>83</v>
      </c>
      <c r="C14" s="185">
        <v>1</v>
      </c>
      <c r="D14" s="185"/>
      <c r="E14" s="185"/>
      <c r="F14" s="185"/>
      <c r="G14" s="185">
        <v>1</v>
      </c>
      <c r="H14" s="196" t="s">
        <v>494</v>
      </c>
      <c r="I14" s="178"/>
      <c r="J14" s="177"/>
      <c r="K14" s="185"/>
      <c r="L14" s="191"/>
    </row>
    <row r="15" spans="1:15" ht="15.75" x14ac:dyDescent="0.3">
      <c r="A15" s="192">
        <v>6</v>
      </c>
      <c r="B15" s="184" t="s">
        <v>495</v>
      </c>
      <c r="C15" s="197">
        <v>1</v>
      </c>
      <c r="D15" s="197"/>
      <c r="E15" s="197"/>
      <c r="F15" s="197"/>
      <c r="G15" s="197">
        <v>1</v>
      </c>
      <c r="H15" s="196" t="s">
        <v>496</v>
      </c>
      <c r="I15" s="178"/>
      <c r="J15" s="198"/>
      <c r="K15" s="197"/>
      <c r="L15" s="177"/>
    </row>
    <row r="16" spans="1:15" ht="15.75" x14ac:dyDescent="0.3">
      <c r="A16" s="192">
        <v>7</v>
      </c>
      <c r="B16" s="184" t="s">
        <v>222</v>
      </c>
      <c r="C16" s="197">
        <v>1</v>
      </c>
      <c r="D16" s="197"/>
      <c r="E16" s="197"/>
      <c r="F16" s="197"/>
      <c r="G16" s="197">
        <v>1</v>
      </c>
      <c r="H16" s="196" t="s">
        <v>497</v>
      </c>
      <c r="I16" s="178"/>
      <c r="J16" s="198"/>
      <c r="K16" s="197"/>
      <c r="L16" s="177"/>
    </row>
    <row r="17" spans="1:12" ht="15.75" x14ac:dyDescent="0.3">
      <c r="A17" s="192">
        <v>8</v>
      </c>
      <c r="B17" s="184" t="s">
        <v>96</v>
      </c>
      <c r="C17" s="197">
        <v>1</v>
      </c>
      <c r="D17" s="197"/>
      <c r="E17" s="197"/>
      <c r="F17" s="197"/>
      <c r="G17" s="197">
        <v>1</v>
      </c>
      <c r="H17" s="196" t="s">
        <v>498</v>
      </c>
      <c r="I17" s="178"/>
      <c r="J17" s="198"/>
      <c r="K17" s="197"/>
      <c r="L17" s="177"/>
    </row>
    <row r="18" spans="1:12" ht="15.75" x14ac:dyDescent="0.3">
      <c r="A18" s="192">
        <v>9</v>
      </c>
      <c r="B18" s="180" t="s">
        <v>38</v>
      </c>
      <c r="C18" s="197"/>
      <c r="D18" s="197">
        <v>1</v>
      </c>
      <c r="E18" s="197"/>
      <c r="F18" s="197">
        <v>1</v>
      </c>
      <c r="G18" s="197"/>
      <c r="H18" s="196" t="s">
        <v>499</v>
      </c>
      <c r="I18" s="178"/>
      <c r="J18" s="198"/>
      <c r="K18" s="197"/>
      <c r="L18" s="177"/>
    </row>
    <row r="19" spans="1:12" ht="30" x14ac:dyDescent="0.3">
      <c r="A19" s="192">
        <v>10</v>
      </c>
      <c r="B19" s="189" t="s">
        <v>48</v>
      </c>
      <c r="C19" s="197">
        <v>1</v>
      </c>
      <c r="D19" s="197"/>
      <c r="E19" s="197"/>
      <c r="F19" s="197"/>
      <c r="G19" s="197">
        <v>1</v>
      </c>
      <c r="H19" s="196" t="s">
        <v>500</v>
      </c>
      <c r="I19" s="178"/>
      <c r="J19" s="198"/>
      <c r="K19" s="197"/>
      <c r="L19" s="177"/>
    </row>
    <row r="20" spans="1:12" ht="15.75" x14ac:dyDescent="0.3">
      <c r="A20" s="192">
        <v>11</v>
      </c>
      <c r="B20" s="184" t="s">
        <v>501</v>
      </c>
      <c r="C20" s="197">
        <v>1</v>
      </c>
      <c r="D20" s="197"/>
      <c r="E20" s="197"/>
      <c r="F20" s="197"/>
      <c r="G20" s="197">
        <v>1</v>
      </c>
      <c r="H20" s="196" t="s">
        <v>489</v>
      </c>
      <c r="I20" s="178"/>
      <c r="J20" s="198"/>
      <c r="K20" s="197"/>
      <c r="L20" s="177"/>
    </row>
    <row r="21" spans="1:12" ht="15.75" x14ac:dyDescent="0.3">
      <c r="A21" s="192">
        <v>12</v>
      </c>
      <c r="B21" s="190" t="s">
        <v>502</v>
      </c>
      <c r="C21" s="197">
        <v>1</v>
      </c>
      <c r="D21" s="197"/>
      <c r="E21" s="197"/>
      <c r="F21" s="197"/>
      <c r="G21" s="197">
        <v>1</v>
      </c>
      <c r="H21" s="199" t="s">
        <v>503</v>
      </c>
      <c r="I21" s="178"/>
      <c r="J21" s="198"/>
      <c r="K21" s="197"/>
      <c r="L21" s="177"/>
    </row>
    <row r="22" spans="1:12" ht="15.75" x14ac:dyDescent="0.3">
      <c r="A22" s="192">
        <v>13</v>
      </c>
      <c r="B22" s="189" t="s">
        <v>85</v>
      </c>
      <c r="C22" s="197">
        <v>1</v>
      </c>
      <c r="D22" s="197"/>
      <c r="E22" s="197"/>
      <c r="F22" s="197"/>
      <c r="G22" s="197">
        <v>1</v>
      </c>
      <c r="H22" s="196" t="s">
        <v>504</v>
      </c>
      <c r="I22" s="178"/>
      <c r="J22" s="198"/>
      <c r="K22" s="197"/>
      <c r="L22" s="198"/>
    </row>
    <row r="23" spans="1:12" s="209" customFormat="1" ht="15.75" x14ac:dyDescent="0.3">
      <c r="A23" s="261"/>
      <c r="B23" s="262"/>
      <c r="C23" s="263">
        <f>SUM(C9:C22)</f>
        <v>12</v>
      </c>
      <c r="D23" s="263">
        <f>SUM(D9:D22)</f>
        <v>1</v>
      </c>
      <c r="E23" s="263">
        <f>SUM(E9:E22)</f>
        <v>0</v>
      </c>
      <c r="F23" s="263">
        <f>SUM(F9:F22)</f>
        <v>1</v>
      </c>
      <c r="G23" s="263">
        <f>SUM(G9:G22)</f>
        <v>12</v>
      </c>
      <c r="H23" s="264"/>
      <c r="I23" s="207"/>
      <c r="J23" s="265"/>
      <c r="K23" s="266"/>
      <c r="L23" s="265"/>
    </row>
    <row r="24" spans="1:12" x14ac:dyDescent="0.25">
      <c r="A24" s="354" t="s">
        <v>20</v>
      </c>
      <c r="B24" s="354"/>
      <c r="C24" s="354"/>
      <c r="D24" s="354"/>
      <c r="E24" s="354"/>
      <c r="F24" s="354"/>
      <c r="G24" s="354"/>
      <c r="H24" s="354"/>
      <c r="I24" s="354"/>
      <c r="J24" s="354"/>
      <c r="K24" s="354"/>
      <c r="L24" s="354"/>
    </row>
    <row r="25" spans="1:12" x14ac:dyDescent="0.25">
      <c r="A25" s="355" t="s">
        <v>342</v>
      </c>
      <c r="B25" s="355"/>
      <c r="C25" s="355"/>
      <c r="D25" s="355"/>
      <c r="E25" s="355"/>
      <c r="F25" s="355"/>
      <c r="G25" s="355"/>
      <c r="H25" s="355"/>
      <c r="I25" s="355"/>
      <c r="J25" s="355"/>
      <c r="K25" s="355"/>
      <c r="L25" s="355"/>
    </row>
    <row r="26" spans="1:12" x14ac:dyDescent="0.25">
      <c r="A26" s="355" t="s">
        <v>343</v>
      </c>
      <c r="B26" s="355"/>
      <c r="C26" s="355"/>
      <c r="D26" s="355"/>
      <c r="E26" s="355"/>
      <c r="F26" s="355"/>
      <c r="G26" s="355"/>
      <c r="H26" s="355"/>
      <c r="I26" s="355"/>
      <c r="J26" s="355"/>
      <c r="K26" s="355"/>
      <c r="L26" s="355"/>
    </row>
  </sheetData>
  <mergeCells count="20">
    <mergeCell ref="O8:O9"/>
    <mergeCell ref="A24:L24"/>
    <mergeCell ref="A25:L25"/>
    <mergeCell ref="A26:L26"/>
    <mergeCell ref="A7:L7"/>
    <mergeCell ref="A8:A9"/>
    <mergeCell ref="B8:B9"/>
    <mergeCell ref="C8:E8"/>
    <mergeCell ref="F8:G8"/>
    <mergeCell ref="H8:H9"/>
    <mergeCell ref="I8:I9"/>
    <mergeCell ref="J8:J9"/>
    <mergeCell ref="K8:K9"/>
    <mergeCell ref="L8:L9"/>
    <mergeCell ref="A6:L6"/>
    <mergeCell ref="A1:L1"/>
    <mergeCell ref="A2:L2"/>
    <mergeCell ref="A3:L3"/>
    <mergeCell ref="A4:L4"/>
    <mergeCell ref="A5:L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7"/>
  <sheetViews>
    <sheetView topLeftCell="A4" workbookViewId="0">
      <selection activeCell="E21" sqref="E21"/>
    </sheetView>
  </sheetViews>
  <sheetFormatPr defaultColWidth="9" defaultRowHeight="15" x14ac:dyDescent="0.25"/>
  <cols>
    <col min="1" max="1" width="5.42578125" customWidth="1"/>
    <col min="2" max="2" width="35.5703125" customWidth="1"/>
    <col min="3" max="3" width="12.5703125" customWidth="1"/>
    <col min="4" max="4" width="12.42578125" customWidth="1"/>
    <col min="5" max="5" width="13.7109375" customWidth="1"/>
    <col min="6" max="6" width="17" customWidth="1"/>
    <col min="7" max="7" width="19.140625" customWidth="1"/>
    <col min="8" max="8" width="44.42578125" customWidth="1"/>
    <col min="9" max="10" width="20" customWidth="1"/>
    <col min="11" max="11" width="18.85546875" customWidth="1"/>
    <col min="12" max="12" width="20.85546875" customWidth="1"/>
  </cols>
  <sheetData>
    <row r="1" spans="1:15" ht="62.25" customHeight="1" x14ac:dyDescent="0.25">
      <c r="A1" s="353"/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</row>
    <row r="2" spans="1:15" ht="15.75" x14ac:dyDescent="0.25">
      <c r="A2" s="338" t="s">
        <v>0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10"/>
    </row>
    <row r="3" spans="1:15" ht="15.75" x14ac:dyDescent="0.25">
      <c r="A3" s="309" t="s">
        <v>81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172"/>
    </row>
    <row r="4" spans="1:15" ht="15.75" x14ac:dyDescent="0.25">
      <c r="A4" s="339" t="s">
        <v>339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173"/>
      <c r="N4" s="173"/>
      <c r="O4" s="173"/>
    </row>
    <row r="5" spans="1:15" ht="15.75" x14ac:dyDescent="0.25">
      <c r="A5" s="353"/>
      <c r="B5" s="353"/>
      <c r="C5" s="353"/>
      <c r="D5" s="353"/>
      <c r="E5" s="353"/>
      <c r="F5" s="353"/>
      <c r="G5" s="353"/>
      <c r="H5" s="353"/>
      <c r="I5" s="353"/>
      <c r="J5" s="353"/>
      <c r="K5" s="353"/>
      <c r="L5" s="353"/>
      <c r="M5" s="173"/>
      <c r="N5" s="173"/>
      <c r="O5" s="173"/>
    </row>
    <row r="6" spans="1:15" ht="15.75" x14ac:dyDescent="0.25">
      <c r="A6" s="337" t="s">
        <v>505</v>
      </c>
      <c r="B6" s="312"/>
      <c r="C6" s="312"/>
      <c r="D6" s="312"/>
      <c r="E6" s="312"/>
      <c r="F6" s="312"/>
      <c r="G6" s="312"/>
      <c r="H6" s="312"/>
      <c r="I6" s="312"/>
      <c r="J6" s="312"/>
      <c r="K6" s="312"/>
      <c r="L6" s="312"/>
      <c r="M6" s="173"/>
      <c r="N6" s="173"/>
      <c r="O6" s="173"/>
    </row>
    <row r="7" spans="1:15" ht="16.5" thickBot="1" x14ac:dyDescent="0.3">
      <c r="A7" s="339" t="s">
        <v>340</v>
      </c>
      <c r="B7" s="339"/>
      <c r="C7" s="339"/>
      <c r="D7" s="339"/>
      <c r="E7" s="339"/>
      <c r="F7" s="339"/>
      <c r="G7" s="339"/>
      <c r="H7" s="339"/>
      <c r="I7" s="339"/>
      <c r="J7" s="339"/>
      <c r="K7" s="339"/>
      <c r="L7" s="339"/>
      <c r="M7" s="173"/>
    </row>
    <row r="8" spans="1:15" ht="15.75" x14ac:dyDescent="0.25">
      <c r="A8" s="341" t="s">
        <v>341</v>
      </c>
      <c r="B8" s="343" t="s">
        <v>3</v>
      </c>
      <c r="C8" s="345" t="s">
        <v>4</v>
      </c>
      <c r="D8" s="346"/>
      <c r="E8" s="347"/>
      <c r="F8" s="348" t="s">
        <v>5</v>
      </c>
      <c r="G8" s="348"/>
      <c r="H8" s="343" t="s">
        <v>6</v>
      </c>
      <c r="I8" s="343" t="s">
        <v>7</v>
      </c>
      <c r="J8" s="343" t="s">
        <v>8</v>
      </c>
      <c r="K8" s="343" t="s">
        <v>9</v>
      </c>
      <c r="L8" s="349" t="s">
        <v>10</v>
      </c>
      <c r="O8" s="343"/>
    </row>
    <row r="9" spans="1:15" ht="15.75" x14ac:dyDescent="0.25">
      <c r="A9" s="342"/>
      <c r="B9" s="344"/>
      <c r="C9" s="174" t="s">
        <v>13</v>
      </c>
      <c r="D9" s="174" t="s">
        <v>14</v>
      </c>
      <c r="E9" s="174" t="s">
        <v>15</v>
      </c>
      <c r="F9" s="175" t="s">
        <v>16</v>
      </c>
      <c r="G9" s="175" t="s">
        <v>17</v>
      </c>
      <c r="H9" s="344"/>
      <c r="I9" s="344"/>
      <c r="J9" s="344"/>
      <c r="K9" s="344"/>
      <c r="L9" s="350"/>
      <c r="O9" s="344"/>
    </row>
    <row r="10" spans="1:15" ht="15.75" x14ac:dyDescent="0.25">
      <c r="A10" s="195">
        <v>1</v>
      </c>
      <c r="B10" s="7" t="s">
        <v>506</v>
      </c>
      <c r="C10" s="195">
        <v>1</v>
      </c>
      <c r="D10" s="194"/>
      <c r="E10" s="182"/>
      <c r="F10" s="182"/>
      <c r="G10" s="194">
        <v>1</v>
      </c>
      <c r="H10" s="200" t="s">
        <v>507</v>
      </c>
      <c r="I10" s="7"/>
      <c r="J10" s="182"/>
      <c r="K10" s="194" t="s">
        <v>508</v>
      </c>
      <c r="L10" s="179"/>
    </row>
    <row r="11" spans="1:15" ht="31.5" x14ac:dyDescent="0.25">
      <c r="A11" s="195">
        <v>2</v>
      </c>
      <c r="B11" s="13" t="s">
        <v>61</v>
      </c>
      <c r="C11" s="195"/>
      <c r="D11" s="194"/>
      <c r="E11" s="182">
        <v>1</v>
      </c>
      <c r="F11" s="182">
        <v>1</v>
      </c>
      <c r="G11" s="194"/>
      <c r="H11" s="201" t="s">
        <v>509</v>
      </c>
      <c r="I11" s="7"/>
      <c r="J11" s="182"/>
      <c r="K11" s="194" t="s">
        <v>508</v>
      </c>
      <c r="L11" s="179"/>
    </row>
    <row r="12" spans="1:15" ht="15.75" x14ac:dyDescent="0.25">
      <c r="A12" s="195">
        <v>3</v>
      </c>
      <c r="B12" s="13" t="s">
        <v>266</v>
      </c>
      <c r="C12" s="195"/>
      <c r="D12" s="194"/>
      <c r="E12" s="182"/>
      <c r="F12" s="182"/>
      <c r="G12" s="194"/>
      <c r="H12" s="202" t="s">
        <v>510</v>
      </c>
      <c r="I12" s="7"/>
      <c r="J12" s="182"/>
      <c r="K12" s="194" t="s">
        <v>508</v>
      </c>
      <c r="L12" s="179"/>
    </row>
    <row r="13" spans="1:15" ht="31.5" x14ac:dyDescent="0.25">
      <c r="A13" s="195">
        <v>4</v>
      </c>
      <c r="B13" s="13" t="s">
        <v>511</v>
      </c>
      <c r="C13" s="195"/>
      <c r="D13" s="194">
        <v>1</v>
      </c>
      <c r="E13" s="182"/>
      <c r="F13" s="182">
        <v>1</v>
      </c>
      <c r="G13" s="194"/>
      <c r="H13" s="202" t="s">
        <v>512</v>
      </c>
      <c r="I13" s="7"/>
      <c r="J13" s="182"/>
      <c r="K13" s="194" t="s">
        <v>508</v>
      </c>
      <c r="L13" s="179"/>
    </row>
    <row r="14" spans="1:15" ht="15.75" x14ac:dyDescent="0.25">
      <c r="A14" s="195">
        <v>5</v>
      </c>
      <c r="B14" s="13" t="s">
        <v>34</v>
      </c>
      <c r="C14" s="195"/>
      <c r="D14" s="194"/>
      <c r="E14" s="182"/>
      <c r="F14" s="194"/>
      <c r="G14" s="194"/>
      <c r="H14" s="188" t="s">
        <v>513</v>
      </c>
      <c r="I14" s="7"/>
      <c r="J14" s="182"/>
      <c r="K14" s="194" t="s">
        <v>508</v>
      </c>
      <c r="L14" s="179"/>
    </row>
    <row r="15" spans="1:15" ht="47.25" x14ac:dyDescent="0.25">
      <c r="A15" s="195">
        <v>6</v>
      </c>
      <c r="B15" s="200" t="s">
        <v>26</v>
      </c>
      <c r="C15" s="203">
        <v>1</v>
      </c>
      <c r="D15" s="204"/>
      <c r="E15" s="205"/>
      <c r="F15" s="204"/>
      <c r="G15" s="204">
        <v>1</v>
      </c>
      <c r="H15" s="202" t="s">
        <v>514</v>
      </c>
      <c r="I15" s="7"/>
      <c r="J15" s="205"/>
      <c r="K15" s="194" t="s">
        <v>508</v>
      </c>
      <c r="L15" s="182"/>
    </row>
    <row r="16" spans="1:15" ht="15.75" x14ac:dyDescent="0.25">
      <c r="A16" s="195">
        <v>7</v>
      </c>
      <c r="B16" s="200" t="s">
        <v>150</v>
      </c>
      <c r="C16" s="203"/>
      <c r="D16" s="204"/>
      <c r="E16" s="205"/>
      <c r="F16" s="204"/>
      <c r="G16" s="204"/>
      <c r="H16" s="201" t="s">
        <v>515</v>
      </c>
      <c r="I16" s="7"/>
      <c r="J16" s="205"/>
      <c r="K16" s="194" t="s">
        <v>508</v>
      </c>
      <c r="L16" s="182"/>
    </row>
    <row r="17" spans="1:12" ht="15.75" x14ac:dyDescent="0.25">
      <c r="A17" s="195">
        <v>8</v>
      </c>
      <c r="B17" s="200" t="s">
        <v>516</v>
      </c>
      <c r="C17" s="203"/>
      <c r="D17" s="204">
        <v>1</v>
      </c>
      <c r="E17" s="205"/>
      <c r="F17" s="204">
        <v>1</v>
      </c>
      <c r="G17" s="204"/>
      <c r="H17" s="200" t="s">
        <v>517</v>
      </c>
      <c r="I17" s="7"/>
      <c r="J17" s="205"/>
      <c r="K17" s="194" t="s">
        <v>508</v>
      </c>
      <c r="L17" s="182"/>
    </row>
    <row r="18" spans="1:12" ht="15.75" x14ac:dyDescent="0.25">
      <c r="A18" s="195">
        <v>9</v>
      </c>
      <c r="B18" s="13" t="s">
        <v>518</v>
      </c>
      <c r="C18" s="203"/>
      <c r="D18" s="204">
        <v>1</v>
      </c>
      <c r="E18" s="205"/>
      <c r="F18" s="204">
        <v>1</v>
      </c>
      <c r="G18" s="204"/>
      <c r="H18" s="200" t="s">
        <v>507</v>
      </c>
      <c r="I18" s="7"/>
      <c r="J18" s="205"/>
      <c r="K18" s="194" t="s">
        <v>508</v>
      </c>
      <c r="L18" s="182"/>
    </row>
    <row r="19" spans="1:12" ht="15.75" x14ac:dyDescent="0.25">
      <c r="A19" s="195">
        <v>10</v>
      </c>
      <c r="B19" s="13" t="s">
        <v>142</v>
      </c>
      <c r="C19" s="203">
        <v>1</v>
      </c>
      <c r="D19" s="204"/>
      <c r="E19" s="205"/>
      <c r="F19" s="204"/>
      <c r="G19" s="204">
        <v>1</v>
      </c>
      <c r="H19" s="202" t="s">
        <v>519</v>
      </c>
      <c r="I19" s="7"/>
      <c r="J19" s="205"/>
      <c r="K19" s="194" t="s">
        <v>508</v>
      </c>
      <c r="L19" s="182"/>
    </row>
    <row r="20" spans="1:12" ht="15.75" x14ac:dyDescent="0.25">
      <c r="A20" s="195">
        <v>11</v>
      </c>
      <c r="B20" s="13" t="s">
        <v>223</v>
      </c>
      <c r="C20" s="203"/>
      <c r="D20" s="204"/>
      <c r="E20" s="205"/>
      <c r="F20" s="204"/>
      <c r="G20" s="204"/>
      <c r="H20" s="202" t="s">
        <v>520</v>
      </c>
      <c r="I20" s="7"/>
      <c r="J20" s="205"/>
      <c r="K20" s="194" t="s">
        <v>508</v>
      </c>
      <c r="L20" s="182"/>
    </row>
    <row r="21" spans="1:12" ht="15.75" x14ac:dyDescent="0.25">
      <c r="A21" s="195">
        <v>12</v>
      </c>
      <c r="B21" s="110" t="s">
        <v>521</v>
      </c>
      <c r="C21" s="203">
        <v>1</v>
      </c>
      <c r="D21" s="204"/>
      <c r="E21" s="205"/>
      <c r="F21" s="204"/>
      <c r="G21" s="204">
        <v>1</v>
      </c>
      <c r="H21" s="188" t="s">
        <v>522</v>
      </c>
      <c r="I21" s="7"/>
      <c r="J21" s="205"/>
      <c r="K21" s="194" t="s">
        <v>508</v>
      </c>
      <c r="L21" s="182"/>
    </row>
    <row r="22" spans="1:12" ht="31.5" x14ac:dyDescent="0.25">
      <c r="A22" s="195">
        <v>13</v>
      </c>
      <c r="B22" s="69" t="s">
        <v>523</v>
      </c>
      <c r="C22" s="203">
        <v>1</v>
      </c>
      <c r="D22" s="204"/>
      <c r="E22" s="205"/>
      <c r="F22" s="204"/>
      <c r="G22" s="205">
        <v>1</v>
      </c>
      <c r="H22" s="188" t="s">
        <v>507</v>
      </c>
      <c r="I22" s="7"/>
      <c r="J22" s="205"/>
      <c r="K22" s="194" t="s">
        <v>508</v>
      </c>
      <c r="L22" s="205"/>
    </row>
    <row r="23" spans="1:12" ht="15.75" x14ac:dyDescent="0.25">
      <c r="A23" s="195">
        <v>14</v>
      </c>
      <c r="B23" s="13" t="s">
        <v>524</v>
      </c>
      <c r="C23" s="203">
        <v>1</v>
      </c>
      <c r="D23" s="204"/>
      <c r="E23" s="205"/>
      <c r="F23" s="204"/>
      <c r="G23" s="205">
        <v>1</v>
      </c>
      <c r="H23" s="188" t="s">
        <v>507</v>
      </c>
      <c r="I23" s="7"/>
      <c r="J23" s="205"/>
      <c r="K23" s="194" t="s">
        <v>508</v>
      </c>
      <c r="L23" s="205"/>
    </row>
    <row r="24" spans="1:12" s="209" customFormat="1" ht="15.75" x14ac:dyDescent="0.25">
      <c r="A24" s="267"/>
      <c r="B24" s="268"/>
      <c r="C24" s="263">
        <f>SUM(C10:C23)</f>
        <v>6</v>
      </c>
      <c r="D24" s="263">
        <f>SUM(D10:D23)</f>
        <v>3</v>
      </c>
      <c r="E24" s="263">
        <f>SUM(E10:E23)</f>
        <v>1</v>
      </c>
      <c r="F24" s="263">
        <f>SUM(F10:F23)</f>
        <v>4</v>
      </c>
      <c r="G24" s="263">
        <f>SUM(G10:G23)</f>
        <v>6</v>
      </c>
      <c r="H24" s="269"/>
      <c r="I24" s="217"/>
      <c r="J24" s="259"/>
      <c r="K24" s="244"/>
      <c r="L24" s="259"/>
    </row>
    <row r="25" spans="1:12" ht="15.75" x14ac:dyDescent="0.25">
      <c r="A25" s="351" t="s">
        <v>20</v>
      </c>
      <c r="B25" s="351"/>
      <c r="C25" s="351"/>
      <c r="D25" s="351"/>
      <c r="E25" s="351"/>
      <c r="F25" s="351"/>
      <c r="G25" s="351"/>
      <c r="H25" s="351"/>
      <c r="I25" s="351"/>
      <c r="J25" s="351"/>
      <c r="K25" s="351"/>
      <c r="L25" s="351"/>
    </row>
    <row r="26" spans="1:12" ht="15.75" x14ac:dyDescent="0.25">
      <c r="A26" s="340" t="s">
        <v>24</v>
      </c>
      <c r="B26" s="340"/>
      <c r="C26" s="340"/>
      <c r="D26" s="340"/>
      <c r="E26" s="340"/>
      <c r="F26" s="340"/>
      <c r="G26" s="340"/>
      <c r="H26" s="340"/>
      <c r="I26" s="340"/>
      <c r="J26" s="340"/>
      <c r="K26" s="340"/>
      <c r="L26" s="340"/>
    </row>
    <row r="27" spans="1:12" ht="15.75" x14ac:dyDescent="0.25">
      <c r="A27" s="340" t="s">
        <v>25</v>
      </c>
      <c r="B27" s="340"/>
      <c r="C27" s="340"/>
      <c r="D27" s="340"/>
      <c r="E27" s="340"/>
      <c r="F27" s="340"/>
      <c r="G27" s="340"/>
      <c r="H27" s="340"/>
      <c r="I27" s="340"/>
      <c r="J27" s="340"/>
      <c r="K27" s="340"/>
      <c r="L27" s="340"/>
    </row>
  </sheetData>
  <mergeCells count="20">
    <mergeCell ref="O8:O9"/>
    <mergeCell ref="A25:L25"/>
    <mergeCell ref="A26:L26"/>
    <mergeCell ref="A27:L27"/>
    <mergeCell ref="A7:L7"/>
    <mergeCell ref="A8:A9"/>
    <mergeCell ref="B8:B9"/>
    <mergeCell ref="C8:E8"/>
    <mergeCell ref="F8:G8"/>
    <mergeCell ref="H8:H9"/>
    <mergeCell ref="I8:I9"/>
    <mergeCell ref="J8:J9"/>
    <mergeCell ref="K8:K9"/>
    <mergeCell ref="L8:L9"/>
    <mergeCell ref="A6:L6"/>
    <mergeCell ref="A1:L1"/>
    <mergeCell ref="A2:L2"/>
    <mergeCell ref="A3:L3"/>
    <mergeCell ref="A4:L4"/>
    <mergeCell ref="A5:L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57"/>
  <sheetViews>
    <sheetView tabSelected="1" topLeftCell="A41" zoomScale="115" zoomScaleNormal="115" workbookViewId="0">
      <selection activeCell="A49" sqref="A49:O49"/>
    </sheetView>
  </sheetViews>
  <sheetFormatPr defaultRowHeight="15.75" x14ac:dyDescent="0.25"/>
  <cols>
    <col min="1" max="1" width="5.42578125" style="38" customWidth="1"/>
    <col min="2" max="2" width="39.85546875" style="11" customWidth="1"/>
    <col min="3" max="3" width="9.85546875" style="11" customWidth="1"/>
    <col min="4" max="4" width="8.42578125" style="11" customWidth="1"/>
    <col min="5" max="5" width="12.85546875" style="11" customWidth="1"/>
    <col min="6" max="6" width="14.28515625" style="11" customWidth="1"/>
    <col min="7" max="7" width="19.140625" style="11" customWidth="1"/>
    <col min="8" max="8" width="36.140625" style="11" customWidth="1"/>
    <col min="9" max="9" width="20" style="11" hidden="1" customWidth="1"/>
    <col min="10" max="10" width="39.42578125" style="11" customWidth="1"/>
    <col min="11" max="11" width="18.85546875" style="11" customWidth="1"/>
    <col min="12" max="12" width="20.85546875" style="39" customWidth="1"/>
    <col min="13" max="13" width="20" style="11" customWidth="1"/>
    <col min="14" max="14" width="16.7109375" style="11" customWidth="1"/>
    <col min="15" max="15" width="27" style="40" customWidth="1"/>
    <col min="16" max="16384" width="9.140625" style="11"/>
  </cols>
  <sheetData>
    <row r="1" spans="1:15" s="10" customFormat="1" x14ac:dyDescent="0.25">
      <c r="A1" s="309"/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</row>
    <row r="2" spans="1:15" s="10" customFormat="1" x14ac:dyDescent="0.25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</row>
    <row r="3" spans="1:15" s="10" customFormat="1" x14ac:dyDescent="0.25">
      <c r="A3" s="309"/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</row>
    <row r="4" spans="1:15" s="10" customFormat="1" x14ac:dyDescent="0.25">
      <c r="A4" s="309"/>
      <c r="B4" s="30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</row>
    <row r="5" spans="1:15" s="10" customFormat="1" x14ac:dyDescent="0.25">
      <c r="A5" s="309"/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</row>
    <row r="6" spans="1:15" s="10" customFormat="1" x14ac:dyDescent="0.25">
      <c r="A6" s="310" t="s">
        <v>0</v>
      </c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</row>
    <row r="7" spans="1:15" s="10" customFormat="1" x14ac:dyDescent="0.25">
      <c r="A7" s="308" t="s">
        <v>81</v>
      </c>
      <c r="B7" s="308"/>
      <c r="C7" s="308"/>
      <c r="D7" s="308"/>
      <c r="E7" s="308"/>
      <c r="F7" s="308"/>
      <c r="G7" s="308"/>
      <c r="H7" s="308"/>
      <c r="I7" s="308"/>
      <c r="J7" s="308"/>
      <c r="K7" s="308"/>
      <c r="L7" s="308"/>
      <c r="M7" s="308"/>
      <c r="N7" s="308"/>
      <c r="O7" s="308"/>
    </row>
    <row r="8" spans="1:15" s="10" customFormat="1" x14ac:dyDescent="0.25">
      <c r="A8" s="308" t="s">
        <v>82</v>
      </c>
      <c r="B8" s="308"/>
      <c r="C8" s="308"/>
      <c r="D8" s="308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</row>
    <row r="9" spans="1:15" s="10" customFormat="1" x14ac:dyDescent="0.25">
      <c r="A9" s="308"/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</row>
    <row r="10" spans="1:15" s="10" customFormat="1" x14ac:dyDescent="0.25">
      <c r="A10" s="308"/>
      <c r="B10" s="308"/>
      <c r="C10" s="308"/>
      <c r="D10" s="308"/>
      <c r="E10" s="308"/>
      <c r="F10" s="308"/>
      <c r="G10" s="308"/>
      <c r="H10" s="308"/>
      <c r="I10" s="308"/>
      <c r="J10" s="308"/>
      <c r="K10" s="308"/>
      <c r="L10" s="308"/>
      <c r="M10" s="308"/>
      <c r="N10" s="308"/>
      <c r="O10" s="308"/>
    </row>
    <row r="11" spans="1:15" ht="15.75" customHeight="1" x14ac:dyDescent="0.25">
      <c r="A11" s="311"/>
      <c r="B11" s="311"/>
      <c r="C11" s="311"/>
      <c r="D11" s="311"/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</row>
    <row r="12" spans="1:15" x14ac:dyDescent="0.25">
      <c r="A12" s="312" t="s">
        <v>529</v>
      </c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2"/>
      <c r="N12" s="312"/>
      <c r="O12" s="312"/>
    </row>
    <row r="13" spans="1:15" ht="16.5" thickBot="1" x14ac:dyDescent="0.3">
      <c r="A13" s="313" t="s">
        <v>1</v>
      </c>
      <c r="B13" s="313"/>
      <c r="C13" s="313"/>
      <c r="D13" s="313"/>
      <c r="E13" s="313"/>
      <c r="F13" s="313"/>
      <c r="G13" s="313"/>
      <c r="H13" s="313"/>
      <c r="I13" s="313"/>
      <c r="J13" s="313"/>
      <c r="K13" s="313"/>
      <c r="L13" s="313"/>
      <c r="M13" s="313"/>
      <c r="N13" s="313"/>
      <c r="O13" s="313"/>
    </row>
    <row r="14" spans="1:15" s="12" customFormat="1" ht="16.5" thickBot="1" x14ac:dyDescent="0.3">
      <c r="A14" s="314" t="s">
        <v>2</v>
      </c>
      <c r="B14" s="316" t="s">
        <v>3</v>
      </c>
      <c r="C14" s="318" t="s">
        <v>4</v>
      </c>
      <c r="D14" s="319"/>
      <c r="E14" s="320"/>
      <c r="F14" s="321" t="s">
        <v>5</v>
      </c>
      <c r="G14" s="322"/>
      <c r="H14" s="323" t="s">
        <v>6</v>
      </c>
      <c r="I14" s="323" t="s">
        <v>7</v>
      </c>
      <c r="J14" s="323" t="s">
        <v>8</v>
      </c>
      <c r="K14" s="316" t="s">
        <v>9</v>
      </c>
      <c r="L14" s="323" t="s">
        <v>10</v>
      </c>
      <c r="M14" s="323" t="s">
        <v>11</v>
      </c>
      <c r="N14" s="321" t="s">
        <v>12</v>
      </c>
      <c r="O14" s="328"/>
    </row>
    <row r="15" spans="1:15" s="12" customFormat="1" ht="16.5" thickBot="1" x14ac:dyDescent="0.3">
      <c r="A15" s="315"/>
      <c r="B15" s="317"/>
      <c r="C15" s="46" t="s">
        <v>13</v>
      </c>
      <c r="D15" s="45" t="s">
        <v>14</v>
      </c>
      <c r="E15" s="45" t="s">
        <v>15</v>
      </c>
      <c r="F15" s="64" t="s">
        <v>16</v>
      </c>
      <c r="G15" s="63" t="s">
        <v>17</v>
      </c>
      <c r="H15" s="324"/>
      <c r="I15" s="324"/>
      <c r="J15" s="324"/>
      <c r="K15" s="326"/>
      <c r="L15" s="327"/>
      <c r="M15" s="327"/>
      <c r="N15" s="48" t="s">
        <v>18</v>
      </c>
      <c r="O15" s="45" t="s">
        <v>19</v>
      </c>
    </row>
    <row r="16" spans="1:15" ht="31.5" x14ac:dyDescent="0.25">
      <c r="A16" s="1">
        <v>1</v>
      </c>
      <c r="B16" s="288" t="s">
        <v>48</v>
      </c>
      <c r="C16" s="90">
        <v>1</v>
      </c>
      <c r="D16" s="2"/>
      <c r="E16" s="2"/>
      <c r="F16" s="2"/>
      <c r="G16" s="2">
        <v>1</v>
      </c>
      <c r="H16" s="277" t="s">
        <v>572</v>
      </c>
      <c r="I16" s="7"/>
      <c r="J16" s="47"/>
      <c r="K16" s="89" t="s">
        <v>573</v>
      </c>
      <c r="L16" s="44"/>
      <c r="M16" s="15"/>
      <c r="N16" s="87">
        <v>842649761</v>
      </c>
      <c r="O16" s="16"/>
    </row>
    <row r="17" spans="1:15" s="12" customFormat="1" ht="110.25" x14ac:dyDescent="0.25">
      <c r="A17" s="4">
        <v>2</v>
      </c>
      <c r="B17" s="289" t="s">
        <v>88</v>
      </c>
      <c r="C17" s="5">
        <v>1</v>
      </c>
      <c r="D17" s="5"/>
      <c r="E17" s="5"/>
      <c r="F17" s="5"/>
      <c r="G17" s="5">
        <v>1</v>
      </c>
      <c r="H17" s="212" t="s">
        <v>545</v>
      </c>
      <c r="I17" s="6"/>
      <c r="J17" s="13"/>
      <c r="K17" s="19" t="s">
        <v>573</v>
      </c>
      <c r="L17" s="230" t="s">
        <v>544</v>
      </c>
      <c r="M17" s="19"/>
      <c r="N17" s="87"/>
      <c r="O17" s="20"/>
    </row>
    <row r="18" spans="1:15" ht="189" x14ac:dyDescent="0.25">
      <c r="A18" s="4">
        <v>3</v>
      </c>
      <c r="B18" s="289" t="s">
        <v>30</v>
      </c>
      <c r="C18" s="5">
        <v>1</v>
      </c>
      <c r="D18" s="5"/>
      <c r="E18" s="5"/>
      <c r="F18" s="5"/>
      <c r="G18" s="5">
        <v>1</v>
      </c>
      <c r="H18" s="212" t="s">
        <v>590</v>
      </c>
      <c r="I18" s="7"/>
      <c r="J18" s="282"/>
      <c r="K18" s="19" t="s">
        <v>573</v>
      </c>
      <c r="L18" s="84" t="s">
        <v>546</v>
      </c>
      <c r="M18" s="19"/>
      <c r="N18" s="87"/>
      <c r="O18" s="20"/>
    </row>
    <row r="19" spans="1:15" ht="111" thickBot="1" x14ac:dyDescent="0.3">
      <c r="A19" s="4">
        <v>4</v>
      </c>
      <c r="B19" s="290" t="s">
        <v>530</v>
      </c>
      <c r="C19" s="5">
        <v>1</v>
      </c>
      <c r="D19" s="5"/>
      <c r="E19" s="5"/>
      <c r="F19" s="5"/>
      <c r="G19" s="5">
        <v>1</v>
      </c>
      <c r="H19" s="116" t="s">
        <v>549</v>
      </c>
      <c r="I19" s="7"/>
      <c r="J19" s="13"/>
      <c r="K19" s="19" t="s">
        <v>573</v>
      </c>
      <c r="L19" s="84" t="s">
        <v>546</v>
      </c>
      <c r="M19" s="19"/>
      <c r="N19" s="31"/>
      <c r="O19" s="22"/>
    </row>
    <row r="20" spans="1:15" ht="63" x14ac:dyDescent="0.25">
      <c r="A20" s="1">
        <v>5</v>
      </c>
      <c r="B20" s="31" t="s">
        <v>61</v>
      </c>
      <c r="C20" s="5"/>
      <c r="D20" s="5"/>
      <c r="E20" s="5">
        <v>1</v>
      </c>
      <c r="F20" s="5">
        <v>1</v>
      </c>
      <c r="G20" s="5"/>
      <c r="H20" s="114" t="s">
        <v>548</v>
      </c>
      <c r="I20" s="7"/>
      <c r="J20" s="13"/>
      <c r="K20" s="19" t="s">
        <v>573</v>
      </c>
      <c r="L20" s="230" t="s">
        <v>547</v>
      </c>
      <c r="M20" s="31" t="s">
        <v>576</v>
      </c>
      <c r="N20" s="31">
        <v>845020760</v>
      </c>
      <c r="O20" s="22"/>
    </row>
    <row r="21" spans="1:15" ht="78.75" x14ac:dyDescent="0.25">
      <c r="A21" s="4">
        <v>6</v>
      </c>
      <c r="B21" s="31" t="s">
        <v>223</v>
      </c>
      <c r="C21" s="5">
        <v>1</v>
      </c>
      <c r="D21" s="5"/>
      <c r="E21" s="5"/>
      <c r="F21" s="5"/>
      <c r="G21" s="5">
        <v>1</v>
      </c>
      <c r="H21" s="41" t="s">
        <v>554</v>
      </c>
      <c r="I21" s="72"/>
      <c r="J21" s="41"/>
      <c r="K21" s="19" t="s">
        <v>573</v>
      </c>
      <c r="L21" s="230" t="s">
        <v>550</v>
      </c>
      <c r="M21" s="19" t="s">
        <v>577</v>
      </c>
      <c r="N21" s="31">
        <v>853355349</v>
      </c>
      <c r="O21" s="22"/>
    </row>
    <row r="22" spans="1:15" ht="110.25" x14ac:dyDescent="0.25">
      <c r="A22" s="4">
        <v>7</v>
      </c>
      <c r="B22" s="278" t="s">
        <v>368</v>
      </c>
      <c r="C22" s="5">
        <v>1</v>
      </c>
      <c r="D22" s="5"/>
      <c r="E22" s="5"/>
      <c r="F22" s="5"/>
      <c r="G22" s="5">
        <v>1</v>
      </c>
      <c r="H22" s="273" t="s">
        <v>555</v>
      </c>
      <c r="I22" s="72"/>
      <c r="J22" s="41"/>
      <c r="K22" s="19" t="s">
        <v>573</v>
      </c>
      <c r="L22" s="230" t="s">
        <v>551</v>
      </c>
      <c r="M22" s="19" t="s">
        <v>578</v>
      </c>
      <c r="N22" s="278">
        <v>869704494</v>
      </c>
      <c r="O22" s="22"/>
    </row>
    <row r="23" spans="1:15" ht="79.5" thickBot="1" x14ac:dyDescent="0.3">
      <c r="A23" s="4">
        <v>8</v>
      </c>
      <c r="B23" s="31" t="s">
        <v>85</v>
      </c>
      <c r="C23" s="5">
        <v>1</v>
      </c>
      <c r="D23" s="5"/>
      <c r="E23" s="5"/>
      <c r="F23" s="5"/>
      <c r="G23" s="5">
        <v>1</v>
      </c>
      <c r="H23" s="41" t="s">
        <v>553</v>
      </c>
      <c r="I23" s="7"/>
      <c r="J23" s="282"/>
      <c r="K23" s="19" t="s">
        <v>573</v>
      </c>
      <c r="L23" s="85" t="s">
        <v>552</v>
      </c>
      <c r="M23" s="27"/>
      <c r="N23" s="31"/>
      <c r="O23" s="20"/>
    </row>
    <row r="24" spans="1:15" ht="157.5" x14ac:dyDescent="0.25">
      <c r="A24" s="1">
        <v>9</v>
      </c>
      <c r="B24" s="291" t="s">
        <v>34</v>
      </c>
      <c r="C24" s="5">
        <v>1</v>
      </c>
      <c r="D24" s="5"/>
      <c r="E24" s="5"/>
      <c r="F24" s="5"/>
      <c r="G24" s="5">
        <v>1</v>
      </c>
      <c r="H24" s="41" t="s">
        <v>559</v>
      </c>
      <c r="I24" s="7"/>
      <c r="J24" s="13"/>
      <c r="K24" s="19" t="s">
        <v>573</v>
      </c>
      <c r="L24" s="85" t="s">
        <v>556</v>
      </c>
      <c r="M24" s="19" t="s">
        <v>579</v>
      </c>
      <c r="N24" s="31">
        <v>842631593</v>
      </c>
      <c r="O24" s="24"/>
    </row>
    <row r="25" spans="1:15" ht="63" x14ac:dyDescent="0.25">
      <c r="A25" s="4">
        <v>10</v>
      </c>
      <c r="B25" s="291" t="s">
        <v>531</v>
      </c>
      <c r="C25" s="5">
        <v>1</v>
      </c>
      <c r="D25" s="5"/>
      <c r="E25" s="5"/>
      <c r="F25" s="5"/>
      <c r="G25" s="5">
        <v>1</v>
      </c>
      <c r="H25" s="41" t="s">
        <v>557</v>
      </c>
      <c r="I25" s="7"/>
      <c r="J25" s="13"/>
      <c r="K25" s="19" t="s">
        <v>573</v>
      </c>
      <c r="L25" s="85" t="s">
        <v>556</v>
      </c>
      <c r="M25" s="19" t="s">
        <v>580</v>
      </c>
      <c r="N25" s="87">
        <v>861331342</v>
      </c>
      <c r="O25" s="25"/>
    </row>
    <row r="26" spans="1:15" ht="63" x14ac:dyDescent="0.25">
      <c r="A26" s="4">
        <v>11</v>
      </c>
      <c r="B26" s="46" t="s">
        <v>532</v>
      </c>
      <c r="C26" s="5">
        <v>1</v>
      </c>
      <c r="D26" s="5"/>
      <c r="E26" s="5"/>
      <c r="F26" s="5"/>
      <c r="G26" s="5">
        <v>1</v>
      </c>
      <c r="H26" s="274" t="s">
        <v>560</v>
      </c>
      <c r="I26" s="7"/>
      <c r="J26" s="223"/>
      <c r="K26" s="19" t="s">
        <v>573</v>
      </c>
      <c r="L26" s="85" t="s">
        <v>558</v>
      </c>
      <c r="M26" s="19"/>
      <c r="N26" s="279"/>
      <c r="O26" s="26"/>
    </row>
    <row r="27" spans="1:15" s="12" customFormat="1" ht="79.5" thickBot="1" x14ac:dyDescent="0.3">
      <c r="A27" s="4">
        <v>12</v>
      </c>
      <c r="B27" s="292" t="s">
        <v>64</v>
      </c>
      <c r="C27" s="5">
        <v>1</v>
      </c>
      <c r="D27" s="5"/>
      <c r="E27" s="5"/>
      <c r="F27" s="5"/>
      <c r="G27" s="5">
        <v>1</v>
      </c>
      <c r="H27" s="275" t="s">
        <v>562</v>
      </c>
      <c r="I27" s="6"/>
      <c r="J27" s="110"/>
      <c r="K27" s="19" t="s">
        <v>573</v>
      </c>
      <c r="L27" s="85" t="s">
        <v>561</v>
      </c>
      <c r="M27" s="27"/>
      <c r="N27" s="87"/>
      <c r="O27" s="28"/>
    </row>
    <row r="28" spans="1:15" s="12" customFormat="1" ht="31.5" x14ac:dyDescent="0.25">
      <c r="A28" s="1">
        <v>13</v>
      </c>
      <c r="B28" s="293" t="s">
        <v>533</v>
      </c>
      <c r="C28" s="5">
        <v>1</v>
      </c>
      <c r="D28" s="5"/>
      <c r="E28" s="5"/>
      <c r="F28" s="5">
        <v>1</v>
      </c>
      <c r="G28" s="5"/>
      <c r="H28" s="41" t="s">
        <v>584</v>
      </c>
      <c r="I28" s="6"/>
      <c r="J28" s="70"/>
      <c r="K28" s="19" t="s">
        <v>573</v>
      </c>
      <c r="L28" s="85" t="s">
        <v>563</v>
      </c>
      <c r="M28" s="27"/>
      <c r="N28" s="87"/>
      <c r="O28" s="28"/>
    </row>
    <row r="29" spans="1:15" s="12" customFormat="1" ht="31.5" x14ac:dyDescent="0.25">
      <c r="A29" s="4">
        <v>14</v>
      </c>
      <c r="B29" s="294" t="s">
        <v>534</v>
      </c>
      <c r="C29" s="5">
        <v>1</v>
      </c>
      <c r="D29" s="5"/>
      <c r="E29" s="5"/>
      <c r="F29" s="5"/>
      <c r="G29" s="5">
        <v>1</v>
      </c>
      <c r="H29" s="41" t="s">
        <v>585</v>
      </c>
      <c r="I29" s="6"/>
      <c r="J29" s="70"/>
      <c r="K29" s="19" t="s">
        <v>573</v>
      </c>
      <c r="L29" s="85" t="s">
        <v>563</v>
      </c>
      <c r="M29" s="19"/>
      <c r="N29" s="31"/>
      <c r="O29" s="24"/>
    </row>
    <row r="30" spans="1:15" ht="47.25" x14ac:dyDescent="0.25">
      <c r="A30" s="4">
        <v>15</v>
      </c>
      <c r="B30" s="294" t="s">
        <v>535</v>
      </c>
      <c r="C30" s="5"/>
      <c r="D30" s="5"/>
      <c r="E30" s="5"/>
      <c r="F30" s="5">
        <v>1</v>
      </c>
      <c r="G30" s="5"/>
      <c r="H30" s="41" t="s">
        <v>586</v>
      </c>
      <c r="I30" s="7"/>
      <c r="J30" s="70"/>
      <c r="K30" s="19" t="s">
        <v>573</v>
      </c>
      <c r="L30" s="85" t="s">
        <v>563</v>
      </c>
      <c r="M30" s="19" t="s">
        <v>581</v>
      </c>
      <c r="N30" s="31">
        <v>863434803</v>
      </c>
      <c r="O30" s="24"/>
    </row>
    <row r="31" spans="1:15" ht="48" thickBot="1" x14ac:dyDescent="0.3">
      <c r="A31" s="4">
        <v>16</v>
      </c>
      <c r="B31" s="46" t="s">
        <v>536</v>
      </c>
      <c r="C31" s="5">
        <v>1</v>
      </c>
      <c r="D31" s="5"/>
      <c r="E31" s="5"/>
      <c r="F31" s="5"/>
      <c r="G31" s="5">
        <v>1</v>
      </c>
      <c r="H31" s="41" t="s">
        <v>586</v>
      </c>
      <c r="I31" s="7"/>
      <c r="J31" s="110"/>
      <c r="K31" s="19" t="s">
        <v>573</v>
      </c>
      <c r="L31" s="85" t="s">
        <v>563</v>
      </c>
      <c r="M31" s="19" t="s">
        <v>582</v>
      </c>
      <c r="N31" s="280">
        <v>849150990</v>
      </c>
      <c r="O31" s="24"/>
    </row>
    <row r="32" spans="1:15" ht="47.25" x14ac:dyDescent="0.25">
      <c r="A32" s="1">
        <v>17</v>
      </c>
      <c r="B32" s="295" t="s">
        <v>274</v>
      </c>
      <c r="C32" s="5">
        <v>1</v>
      </c>
      <c r="D32" s="5"/>
      <c r="E32" s="5"/>
      <c r="F32" s="5"/>
      <c r="G32" s="5">
        <v>1</v>
      </c>
      <c r="H32" s="41" t="s">
        <v>586</v>
      </c>
      <c r="I32" s="7"/>
      <c r="J32" s="70"/>
      <c r="K32" s="19" t="s">
        <v>573</v>
      </c>
      <c r="L32" s="85" t="s">
        <v>563</v>
      </c>
      <c r="M32" s="19" t="s">
        <v>583</v>
      </c>
      <c r="N32" s="31">
        <v>874335930</v>
      </c>
      <c r="O32" s="24"/>
    </row>
    <row r="33" spans="1:15" ht="47.25" x14ac:dyDescent="0.25">
      <c r="A33" s="4">
        <v>18</v>
      </c>
      <c r="B33" s="295" t="s">
        <v>98</v>
      </c>
      <c r="C33" s="5">
        <v>1</v>
      </c>
      <c r="D33" s="5"/>
      <c r="E33" s="5"/>
      <c r="F33" s="5">
        <v>1</v>
      </c>
      <c r="G33" s="5"/>
      <c r="H33" s="41" t="s">
        <v>587</v>
      </c>
      <c r="I33" s="7"/>
      <c r="J33" s="110"/>
      <c r="K33" s="19" t="s">
        <v>573</v>
      </c>
      <c r="L33" s="85" t="s">
        <v>563</v>
      </c>
      <c r="M33" s="31" t="s">
        <v>574</v>
      </c>
      <c r="N33" s="10"/>
      <c r="O33" s="24"/>
    </row>
    <row r="34" spans="1:15" ht="63.75" thickBot="1" x14ac:dyDescent="0.3">
      <c r="A34" s="4">
        <v>19</v>
      </c>
      <c r="B34" s="295" t="s">
        <v>105</v>
      </c>
      <c r="C34" s="5">
        <v>1</v>
      </c>
      <c r="D34" s="5"/>
      <c r="E34" s="5"/>
      <c r="F34" s="5">
        <v>1</v>
      </c>
      <c r="G34" s="5"/>
      <c r="H34" s="41" t="s">
        <v>588</v>
      </c>
      <c r="I34" s="7"/>
      <c r="J34" s="70"/>
      <c r="K34" s="19" t="s">
        <v>573</v>
      </c>
      <c r="L34" s="85" t="s">
        <v>564</v>
      </c>
      <c r="M34" s="19"/>
      <c r="N34" s="31">
        <v>847872596</v>
      </c>
      <c r="O34" s="24"/>
    </row>
    <row r="35" spans="1:15" s="12" customFormat="1" ht="31.5" x14ac:dyDescent="0.25">
      <c r="A35" s="1">
        <v>21</v>
      </c>
      <c r="B35" s="295" t="s">
        <v>537</v>
      </c>
      <c r="C35" s="5">
        <v>1</v>
      </c>
      <c r="D35" s="5"/>
      <c r="E35" s="5"/>
      <c r="F35" s="5"/>
      <c r="G35" s="5">
        <v>1</v>
      </c>
      <c r="H35" s="41" t="s">
        <v>584</v>
      </c>
      <c r="I35" s="6"/>
      <c r="J35" s="70"/>
      <c r="K35" s="19" t="s">
        <v>573</v>
      </c>
      <c r="L35" s="85" t="s">
        <v>563</v>
      </c>
      <c r="M35" s="19"/>
      <c r="N35" s="31"/>
      <c r="O35" s="24"/>
    </row>
    <row r="36" spans="1:15" s="12" customFormat="1" ht="31.5" x14ac:dyDescent="0.25">
      <c r="A36" s="4">
        <v>22</v>
      </c>
      <c r="B36" s="295" t="s">
        <v>538</v>
      </c>
      <c r="C36" s="5"/>
      <c r="D36" s="5"/>
      <c r="E36" s="5"/>
      <c r="F36" s="5"/>
      <c r="G36" s="5"/>
      <c r="H36" s="41" t="s">
        <v>589</v>
      </c>
      <c r="I36" s="6"/>
      <c r="J36" s="110"/>
      <c r="K36" s="19" t="s">
        <v>573</v>
      </c>
      <c r="L36" s="85" t="s">
        <v>187</v>
      </c>
      <c r="M36" s="17"/>
      <c r="N36" s="280"/>
      <c r="O36" s="24"/>
    </row>
    <row r="37" spans="1:15" s="12" customFormat="1" ht="95.25" thickBot="1" x14ac:dyDescent="0.3">
      <c r="A37" s="4">
        <v>24</v>
      </c>
      <c r="B37" s="295" t="s">
        <v>539</v>
      </c>
      <c r="C37" s="5"/>
      <c r="D37" s="5">
        <v>1</v>
      </c>
      <c r="E37" s="5"/>
      <c r="F37" s="5">
        <v>1</v>
      </c>
      <c r="G37" s="5"/>
      <c r="H37" s="274" t="s">
        <v>566</v>
      </c>
      <c r="I37" s="6"/>
      <c r="J37" s="223"/>
      <c r="K37" s="19" t="s">
        <v>573</v>
      </c>
      <c r="L37" s="85" t="s">
        <v>556</v>
      </c>
      <c r="M37" s="17"/>
      <c r="N37" s="31"/>
      <c r="O37" s="24"/>
    </row>
    <row r="38" spans="1:15" ht="78.75" x14ac:dyDescent="0.25">
      <c r="A38" s="1">
        <v>25</v>
      </c>
      <c r="B38" s="296" t="s">
        <v>540</v>
      </c>
      <c r="C38" s="5">
        <v>1</v>
      </c>
      <c r="D38" s="5"/>
      <c r="E38" s="5"/>
      <c r="F38" s="5">
        <v>1</v>
      </c>
      <c r="G38" s="5"/>
      <c r="H38" s="276" t="s">
        <v>567</v>
      </c>
      <c r="I38" s="7"/>
      <c r="J38" s="110"/>
      <c r="K38" s="19" t="s">
        <v>573</v>
      </c>
      <c r="L38" s="85" t="s">
        <v>568</v>
      </c>
      <c r="M38" s="17"/>
      <c r="N38" s="31"/>
      <c r="O38" s="24"/>
    </row>
    <row r="39" spans="1:15" ht="63" x14ac:dyDescent="0.25">
      <c r="A39" s="4">
        <v>26</v>
      </c>
      <c r="B39" s="295" t="s">
        <v>541</v>
      </c>
      <c r="C39" s="5">
        <v>1</v>
      </c>
      <c r="D39" s="5"/>
      <c r="E39" s="5"/>
      <c r="F39" s="5"/>
      <c r="G39" s="5">
        <v>1</v>
      </c>
      <c r="H39" s="285" t="s">
        <v>570</v>
      </c>
      <c r="I39" s="7"/>
      <c r="J39" s="70"/>
      <c r="K39" s="19" t="s">
        <v>573</v>
      </c>
      <c r="L39" s="85" t="s">
        <v>571</v>
      </c>
      <c r="M39" s="31" t="s">
        <v>575</v>
      </c>
      <c r="N39" s="7"/>
      <c r="O39" s="24"/>
    </row>
    <row r="40" spans="1:15" ht="63" x14ac:dyDescent="0.25">
      <c r="A40" s="4">
        <v>27</v>
      </c>
      <c r="B40" s="295" t="s">
        <v>266</v>
      </c>
      <c r="C40" s="5">
        <v>1</v>
      </c>
      <c r="D40" s="5"/>
      <c r="E40" s="5"/>
      <c r="F40" s="5"/>
      <c r="G40" s="5">
        <v>1</v>
      </c>
      <c r="H40" s="286" t="s">
        <v>543</v>
      </c>
      <c r="I40" s="7"/>
      <c r="J40" s="223"/>
      <c r="K40" s="19" t="s">
        <v>573</v>
      </c>
      <c r="L40" s="85" t="s">
        <v>571</v>
      </c>
      <c r="M40" s="17"/>
      <c r="N40" s="194"/>
      <c r="O40" s="30"/>
    </row>
    <row r="41" spans="1:15" ht="94.5" x14ac:dyDescent="0.25">
      <c r="A41" s="4">
        <v>28</v>
      </c>
      <c r="B41" s="295" t="s">
        <v>535</v>
      </c>
      <c r="C41" s="5"/>
      <c r="D41" s="5">
        <v>1</v>
      </c>
      <c r="E41" s="5"/>
      <c r="F41" s="5">
        <v>1</v>
      </c>
      <c r="G41" s="5"/>
      <c r="H41" s="116" t="s">
        <v>569</v>
      </c>
      <c r="I41" s="7"/>
      <c r="J41" s="70"/>
      <c r="K41" s="19" t="s">
        <v>573</v>
      </c>
      <c r="L41" s="85" t="s">
        <v>571</v>
      </c>
      <c r="M41" s="17"/>
      <c r="N41" s="194">
        <v>849150990</v>
      </c>
      <c r="O41" s="30"/>
    </row>
    <row r="42" spans="1:15" x14ac:dyDescent="0.25">
      <c r="A42" s="4">
        <v>30</v>
      </c>
      <c r="B42" s="295" t="s">
        <v>83</v>
      </c>
      <c r="C42" s="5">
        <v>1</v>
      </c>
      <c r="D42" s="5"/>
      <c r="E42" s="5"/>
      <c r="F42" s="5"/>
      <c r="G42" s="5">
        <v>1</v>
      </c>
      <c r="H42" s="283"/>
      <c r="I42" s="32"/>
      <c r="J42" s="67"/>
      <c r="K42" s="19"/>
      <c r="L42" s="85"/>
      <c r="M42" s="17"/>
      <c r="N42" s="281">
        <v>845722433</v>
      </c>
      <c r="O42" s="30"/>
    </row>
    <row r="43" spans="1:15" x14ac:dyDescent="0.25">
      <c r="A43" s="4">
        <v>31</v>
      </c>
      <c r="B43" s="295" t="s">
        <v>542</v>
      </c>
      <c r="C43" s="5">
        <v>1</v>
      </c>
      <c r="D43" s="5"/>
      <c r="E43" s="5"/>
      <c r="F43" s="5">
        <v>1</v>
      </c>
      <c r="G43" s="5"/>
      <c r="H43" s="284"/>
      <c r="I43" s="32"/>
      <c r="J43" s="67"/>
      <c r="K43" s="19"/>
      <c r="L43" s="85"/>
      <c r="M43" s="17"/>
      <c r="N43" s="31">
        <v>847017074</v>
      </c>
      <c r="O43" s="30"/>
    </row>
    <row r="44" spans="1:15" ht="16.5" thickBot="1" x14ac:dyDescent="0.3">
      <c r="A44" s="4">
        <v>32</v>
      </c>
      <c r="B44" s="295" t="s">
        <v>531</v>
      </c>
      <c r="C44" s="5">
        <v>1</v>
      </c>
      <c r="D44" s="5"/>
      <c r="E44" s="5"/>
      <c r="F44" s="5"/>
      <c r="G44" s="5">
        <v>1</v>
      </c>
      <c r="H44" s="283"/>
      <c r="I44" s="32"/>
      <c r="J44" s="67"/>
      <c r="K44" s="19"/>
      <c r="L44" s="85"/>
      <c r="M44" s="17"/>
      <c r="N44" s="31">
        <v>848611115</v>
      </c>
      <c r="O44" s="30"/>
    </row>
    <row r="45" spans="1:15" x14ac:dyDescent="0.25">
      <c r="A45" s="1">
        <v>33</v>
      </c>
      <c r="B45" s="295" t="s">
        <v>223</v>
      </c>
      <c r="C45" s="5">
        <v>1</v>
      </c>
      <c r="D45" s="5"/>
      <c r="E45" s="5"/>
      <c r="F45" s="5"/>
      <c r="G45" s="5">
        <v>1</v>
      </c>
      <c r="H45" s="283"/>
      <c r="I45" s="7"/>
      <c r="J45" s="67"/>
      <c r="K45" s="19"/>
      <c r="L45" s="85"/>
      <c r="M45" s="17"/>
      <c r="N45" s="31">
        <v>861331342</v>
      </c>
      <c r="O45" s="24"/>
    </row>
    <row r="46" spans="1:15" ht="16.5" thickBot="1" x14ac:dyDescent="0.3">
      <c r="A46" s="4">
        <v>36</v>
      </c>
      <c r="B46" s="33"/>
      <c r="C46" s="8">
        <f>SUM(C16:C45)</f>
        <v>25</v>
      </c>
      <c r="D46" s="8">
        <f>SUM(D16:D45)</f>
        <v>2</v>
      </c>
      <c r="E46" s="8">
        <f>SUM(E16:E45)</f>
        <v>1</v>
      </c>
      <c r="F46" s="8">
        <f>SUM(F16:F45)</f>
        <v>9</v>
      </c>
      <c r="G46" s="8">
        <f>SUM(G16:G45)</f>
        <v>20</v>
      </c>
      <c r="H46" s="34"/>
      <c r="I46" s="9"/>
      <c r="J46" s="9"/>
      <c r="K46" s="88"/>
      <c r="L46" s="35"/>
      <c r="M46" s="33"/>
      <c r="N46" s="36"/>
      <c r="O46" s="37"/>
    </row>
    <row r="47" spans="1:15" x14ac:dyDescent="0.25">
      <c r="A47" s="329" t="s">
        <v>20</v>
      </c>
      <c r="B47" s="329"/>
      <c r="C47" s="329"/>
      <c r="D47" s="329"/>
      <c r="E47" s="329"/>
      <c r="F47" s="329"/>
      <c r="G47" s="329"/>
      <c r="H47" s="329"/>
      <c r="I47" s="329"/>
      <c r="J47" s="329"/>
      <c r="K47" s="329"/>
      <c r="L47" s="329"/>
      <c r="M47" s="329"/>
      <c r="N47" s="329"/>
      <c r="O47" s="329"/>
    </row>
    <row r="48" spans="1:15" x14ac:dyDescent="0.25">
      <c r="A48" s="325" t="s">
        <v>24</v>
      </c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</row>
    <row r="49" spans="1:15" x14ac:dyDescent="0.25">
      <c r="A49" s="325" t="s">
        <v>25</v>
      </c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</row>
    <row r="50" spans="1:15" x14ac:dyDescent="0.25">
      <c r="E50" s="271"/>
      <c r="H50" s="271" t="s">
        <v>278</v>
      </c>
      <c r="J50" s="287"/>
    </row>
    <row r="51" spans="1:15" x14ac:dyDescent="0.25">
      <c r="E51" s="271"/>
      <c r="H51" s="271" t="s">
        <v>570</v>
      </c>
      <c r="J51" s="271"/>
    </row>
    <row r="52" spans="1:15" x14ac:dyDescent="0.25">
      <c r="H52" s="271" t="s">
        <v>591</v>
      </c>
      <c r="J52" s="271"/>
    </row>
    <row r="53" spans="1:15" x14ac:dyDescent="0.25">
      <c r="H53" s="271" t="s">
        <v>592</v>
      </c>
      <c r="J53" s="307">
        <v>285</v>
      </c>
    </row>
    <row r="54" spans="1:15" x14ac:dyDescent="0.25">
      <c r="H54" s="271" t="s">
        <v>593</v>
      </c>
      <c r="J54" s="271"/>
    </row>
    <row r="55" spans="1:15" x14ac:dyDescent="0.25">
      <c r="H55" s="271" t="s">
        <v>594</v>
      </c>
      <c r="J55" s="271"/>
    </row>
    <row r="56" spans="1:15" x14ac:dyDescent="0.25">
      <c r="H56" s="271" t="s">
        <v>595</v>
      </c>
      <c r="J56" s="271"/>
    </row>
    <row r="57" spans="1:15" x14ac:dyDescent="0.25">
      <c r="H57" s="271" t="s">
        <v>565</v>
      </c>
      <c r="J57" s="271"/>
    </row>
  </sheetData>
  <mergeCells count="23">
    <mergeCell ref="A49:O49"/>
    <mergeCell ref="K14:K15"/>
    <mergeCell ref="L14:L15"/>
    <mergeCell ref="M14:M15"/>
    <mergeCell ref="N14:O14"/>
    <mergeCell ref="A47:O47"/>
    <mergeCell ref="A48:O48"/>
    <mergeCell ref="A11:O11"/>
    <mergeCell ref="A12:O12"/>
    <mergeCell ref="A13:O13"/>
    <mergeCell ref="A14:A15"/>
    <mergeCell ref="B14:B15"/>
    <mergeCell ref="C14:E14"/>
    <mergeCell ref="F14:G14"/>
    <mergeCell ref="H14:H15"/>
    <mergeCell ref="I14:I15"/>
    <mergeCell ref="J14:J15"/>
    <mergeCell ref="A10:O10"/>
    <mergeCell ref="A1:O5"/>
    <mergeCell ref="A6:O6"/>
    <mergeCell ref="A7:O7"/>
    <mergeCell ref="A8:O8"/>
    <mergeCell ref="A9:O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MUIDUMBE</vt:lpstr>
      <vt:lpstr>CHIURE</vt:lpstr>
      <vt:lpstr>ANCUABE</vt:lpstr>
      <vt:lpstr>BALAMA</vt:lpstr>
      <vt:lpstr>MACOMIA</vt:lpstr>
      <vt:lpstr>MECUFI</vt:lpstr>
      <vt:lpstr>QUISSANGA</vt:lpstr>
      <vt:lpstr>PALMA</vt:lpstr>
      <vt:lpstr>NAMUNO</vt:lpstr>
      <vt:lpstr>NANGADE</vt:lpstr>
      <vt:lpstr>IBO</vt:lpstr>
      <vt:lpstr>MELUCO</vt:lpstr>
      <vt:lpstr>MUEDA</vt:lpstr>
      <vt:lpstr>M. DA PRAIA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Oivio Cossa</dc:creator>
  <cp:lastModifiedBy>Milton Kunchenje</cp:lastModifiedBy>
  <dcterms:created xsi:type="dcterms:W3CDTF">2026-03-16T12:18:25Z</dcterms:created>
  <dcterms:modified xsi:type="dcterms:W3CDTF">2026-09-10T10:48:36Z</dcterms:modified>
</cp:coreProperties>
</file>