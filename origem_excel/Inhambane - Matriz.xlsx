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manjate\Desktop\MILTON ONGs\"/>
    </mc:Choice>
  </mc:AlternateContent>
  <bookViews>
    <workbookView xWindow="0" yWindow="0" windowWidth="20490" windowHeight="7650"/>
  </bookViews>
  <sheets>
    <sheet name="Inhamban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0" i="1" l="1"/>
  <c r="C70" i="1"/>
</calcChain>
</file>

<file path=xl/sharedStrings.xml><?xml version="1.0" encoding="utf-8"?>
<sst xmlns="http://schemas.openxmlformats.org/spreadsheetml/2006/main" count="235" uniqueCount="196">
  <si>
    <t>Natureza</t>
  </si>
  <si>
    <t>Nacional</t>
  </si>
  <si>
    <t>Internacional</t>
  </si>
  <si>
    <t>Perfil do Grupo Alvo</t>
  </si>
  <si>
    <t>Projectos em Curso</t>
  </si>
  <si>
    <t>REPÚBLICA DE MOÇAMBIQUE</t>
  </si>
  <si>
    <t>Distritos Beneficiários</t>
  </si>
  <si>
    <t xml:space="preserve">Origem </t>
  </si>
  <si>
    <t xml:space="preserve">Designação da Organização </t>
  </si>
  <si>
    <t>ONG</t>
  </si>
  <si>
    <t>OSC</t>
  </si>
  <si>
    <t>Fundação</t>
  </si>
  <si>
    <t>Legenda</t>
  </si>
  <si>
    <t>No.</t>
  </si>
  <si>
    <t>Área/s de Intervenção</t>
  </si>
  <si>
    <t>Fonte de Financiamento</t>
  </si>
  <si>
    <t>Moçambique Leaf Tabaco (MLT)</t>
  </si>
  <si>
    <t>Agricultura (Produção de Tabaco - Fomento)</t>
  </si>
  <si>
    <t>Saúde</t>
  </si>
  <si>
    <t>Agricultura</t>
  </si>
  <si>
    <t>Angonia, Macanga, chifunde e Tsangano</t>
  </si>
  <si>
    <t>Contactos</t>
  </si>
  <si>
    <t>Telefone</t>
  </si>
  <si>
    <t>e-mail</t>
  </si>
  <si>
    <t>Pessoa de Contacto</t>
  </si>
  <si>
    <t>Luís Simões Basílio</t>
  </si>
  <si>
    <t>basiliol@universalleaf.com</t>
  </si>
  <si>
    <t>AICS Freddy</t>
  </si>
  <si>
    <t>Mais resiliência, Mais Comunidades</t>
  </si>
  <si>
    <r>
      <rPr>
        <b/>
        <sz val="12"/>
        <color theme="1"/>
        <rFont val="Aptos Narrow"/>
        <family val="2"/>
      </rPr>
      <t>ONG:</t>
    </r>
    <r>
      <rPr>
        <sz val="12"/>
        <color theme="1"/>
        <rFont val="Aptos Narrow"/>
        <family val="2"/>
      </rPr>
      <t xml:space="preserve"> Organização Não Governamental</t>
    </r>
  </si>
  <si>
    <t>Doa e Tsangano</t>
  </si>
  <si>
    <t>Fernando Mandima</t>
  </si>
  <si>
    <t>PROVÍNCIA DE TETE</t>
  </si>
  <si>
    <t xml:space="preserve">CONSELHO DOS SERVIÇOS DE REPRESENTAÇÃO DO ESTADO </t>
  </si>
  <si>
    <t>SERVIÇO PROVINCIAL DE ACTIVIDADES ECONÓMICAS</t>
  </si>
  <si>
    <t>DEPARTAMENTO DE DESENVOLVIMENTO RURAL</t>
  </si>
  <si>
    <t>Matriz de Recolha de Informação sobre ONG´s que Operam na Província</t>
  </si>
  <si>
    <t>Comunidades rurais e produtores agrários.</t>
  </si>
  <si>
    <t>Agricultura e Ambiental</t>
  </si>
  <si>
    <t>Agência Italiana de Desenvolvimento e PMA</t>
  </si>
  <si>
    <r>
      <rPr>
        <b/>
        <sz val="12"/>
        <color theme="1"/>
        <rFont val="Aptos Narrow"/>
        <family val="2"/>
      </rPr>
      <t>OSC:</t>
    </r>
    <r>
      <rPr>
        <sz val="12"/>
        <color theme="1"/>
        <rFont val="Aptos Narrow"/>
        <family val="2"/>
      </rPr>
      <t xml:space="preserve"> Organização da Sociedade Civil</t>
    </r>
  </si>
  <si>
    <t>Província de: Inhambane</t>
  </si>
  <si>
    <t>MALARIA CONSORTIUM</t>
  </si>
  <si>
    <t>Fenias Benhane</t>
  </si>
  <si>
    <t>f.benhane@malariaconsortium.org</t>
  </si>
  <si>
    <t>C.Inhambane, C.Maxixe, Jangamo,Inharrime,Zavala, Homoine, Panda, Massinga,Morrumbene,Funhalouro, Mabote, Inhassoro, Vilankulos, Govuro.</t>
  </si>
  <si>
    <t>CCS</t>
  </si>
  <si>
    <t>rinquescantilal@ccsaude.org.mz</t>
  </si>
  <si>
    <t>CELIM</t>
  </si>
  <si>
    <t xml:space="preserve">Federica Pulcini </t>
  </si>
  <si>
    <t>pulcini@celim.it</t>
  </si>
  <si>
    <t>Inhassoro</t>
  </si>
  <si>
    <t>AMREF</t>
  </si>
  <si>
    <t xml:space="preserve">Samo Manhica </t>
  </si>
  <si>
    <t>samo.manhica@amref.org;</t>
  </si>
  <si>
    <t>C.Inhambane, Massinga</t>
  </si>
  <si>
    <t>CHAI</t>
  </si>
  <si>
    <t>C.Inhambane</t>
  </si>
  <si>
    <t>Ricardo Churana</t>
  </si>
  <si>
    <t>82 30 24811</t>
  </si>
  <si>
    <t>CARE</t>
  </si>
  <si>
    <t>MEDICUS MUNDI ITALIA</t>
  </si>
  <si>
    <t>SVImap</t>
  </si>
  <si>
    <t>SCAIPmap</t>
  </si>
  <si>
    <t>ASF (Arquitectos Sem Fronteira)</t>
  </si>
  <si>
    <t xml:space="preserve">OLHOS DO MUNDO </t>
  </si>
  <si>
    <t>FH Assotiation</t>
  </si>
  <si>
    <t>JAM (For Africa)</t>
  </si>
  <si>
    <t xml:space="preserve">Plan International </t>
  </si>
  <si>
    <t>NAMATI</t>
  </si>
  <si>
    <t>CHILFUND</t>
  </si>
  <si>
    <t>Fabiana Arieti</t>
  </si>
  <si>
    <t>Davide Tomberli</t>
  </si>
  <si>
    <t>Salvi Ros</t>
  </si>
  <si>
    <t xml:space="preserve">Romeu Paulo </t>
  </si>
  <si>
    <t>Helio Cumbe</t>
  </si>
  <si>
    <t>Hortencia Alage</t>
  </si>
  <si>
    <t>820333920/ 844531640</t>
  </si>
  <si>
    <r>
      <t xml:space="preserve">PSI- </t>
    </r>
    <r>
      <rPr>
        <sz val="10"/>
        <color rgb="FF0070C0"/>
        <rFont val="Calibri"/>
        <family val="2"/>
      </rPr>
      <t>Population Services International</t>
    </r>
  </si>
  <si>
    <t>fabiana.arieti@medicusmundi.it</t>
  </si>
  <si>
    <t>davide.tomberli@gmail.com</t>
  </si>
  <si>
    <t>salvi.ros@asfes.org</t>
  </si>
  <si>
    <t>rpaulo@fh.org</t>
  </si>
  <si>
    <t>hcumbe@psi.org.mz</t>
  </si>
  <si>
    <t>email2074inhambane@plan-international.org</t>
  </si>
  <si>
    <t xml:space="preserve">hortenciaalange@namati.org </t>
  </si>
  <si>
    <t>Saúde, Educação e Agricultura</t>
  </si>
  <si>
    <t>Maxixe, Zavala , Inharrime, homoine</t>
  </si>
  <si>
    <t>Morrumbene</t>
  </si>
  <si>
    <t>Saude</t>
  </si>
  <si>
    <t>XX</t>
  </si>
  <si>
    <t>C.Inhambane, C.Maxixe, ,Zavala,  Massinga</t>
  </si>
  <si>
    <t>Jangamo,Inharrime,Zavala, Homoine, Panda, Massinga,Morrumbene,Funhalouro, Mabote, Inhassoro, Vilankulos, Govuro.</t>
  </si>
  <si>
    <t>Saúde , água e saneamento</t>
  </si>
  <si>
    <t>Educação, Agricultura, àgua e saneamento</t>
  </si>
  <si>
    <t>Funhalouro, Mabote, Inhassoro, Vilankulos, Govuro.</t>
  </si>
  <si>
    <t xml:space="preserve"> Homoine, Massinga,Maxixe e Zavala</t>
  </si>
  <si>
    <t>Saúde, Educação e Gênero, Mulher, Criança e Acção Social</t>
  </si>
  <si>
    <t>Jangamo e Homoine</t>
  </si>
  <si>
    <t>Jangamo,Inharrime,Zavala, Homoine, Panda, Massinga,Morrumbene.</t>
  </si>
  <si>
    <t>Educação</t>
  </si>
  <si>
    <t>UTOMI</t>
  </si>
  <si>
    <t>AJOAGO</t>
  </si>
  <si>
    <t>KULIMA</t>
  </si>
  <si>
    <t>ATTV (Associação Xivuno Txavanana)</t>
  </si>
  <si>
    <t>Afrikan Park Network</t>
  </si>
  <si>
    <t>International Youth Fundation</t>
  </si>
  <si>
    <t>NutriPesca</t>
  </si>
  <si>
    <t>RARE</t>
  </si>
  <si>
    <t>CEDES</t>
  </si>
  <si>
    <t>DGRV - Confederacao Alema de Cooperativas Raiffeisen</t>
  </si>
  <si>
    <t>TERRE DES HOMMES</t>
  </si>
  <si>
    <t>IYF - International Youth Fundation</t>
  </si>
  <si>
    <t>GIZ - MZ</t>
  </si>
  <si>
    <t>Missao Educar</t>
  </si>
  <si>
    <t xml:space="preserve">PRODIA </t>
  </si>
  <si>
    <t>C.Inhambane, C.Maxixe, Massinga, Mabote, Inhassoro, Vilankulos.</t>
  </si>
  <si>
    <t>Narciso S. Nhacutoue</t>
  </si>
  <si>
    <t>n.nhacutone@iyfnet.org</t>
  </si>
  <si>
    <t>Adelaide Monjane</t>
  </si>
  <si>
    <t>adelaide.monjane@tdh-southern-africa.org</t>
  </si>
  <si>
    <t>Armindo Tomo</t>
  </si>
  <si>
    <t>armindo.tomo@giz.de</t>
  </si>
  <si>
    <t>Abdul Remane Faquir Bay Ismael</t>
  </si>
  <si>
    <t>ismael@ces.de</t>
  </si>
  <si>
    <t>água e saneamento</t>
  </si>
  <si>
    <t>Zavala, Inharrime e Massinga</t>
  </si>
  <si>
    <t>Agricultura e Recursos Naturais</t>
  </si>
  <si>
    <t>Gênero, Mulher, Criança e Acção Social</t>
  </si>
  <si>
    <t>Zavala</t>
  </si>
  <si>
    <t>Ambiente e Pesca</t>
  </si>
  <si>
    <t>C.Inhambane, C.Maxixe e Morrumbene</t>
  </si>
  <si>
    <t>Inharrime e Panda</t>
  </si>
  <si>
    <t xml:space="preserve">Inharrime </t>
  </si>
  <si>
    <t>Educação ,Gênero, Mulher, Criança e Acção Social</t>
  </si>
  <si>
    <t>IRLANDA</t>
  </si>
  <si>
    <t>Movimento Pela Cidadania (MPC)</t>
  </si>
  <si>
    <t>Bleu Venture Conservation</t>
  </si>
  <si>
    <t>EGPAF (Elisabeht)</t>
  </si>
  <si>
    <t>FHI 360</t>
  </si>
  <si>
    <t xml:space="preserve">TCHAU TCHAU MALARIA </t>
  </si>
  <si>
    <t>Nweti</t>
  </si>
  <si>
    <t>OIM - Org Internacional para as Migracoes</t>
  </si>
  <si>
    <t>Good Nighbour</t>
  </si>
  <si>
    <t>Tearfund</t>
  </si>
  <si>
    <t>Mega Fauna Marinha</t>
  </si>
  <si>
    <t>WWF</t>
  </si>
  <si>
    <t>CVM</t>
  </si>
  <si>
    <t>AMODEFA</t>
  </si>
  <si>
    <t>NO ONE OUT (NOO)</t>
  </si>
  <si>
    <t>AMM (Associacao MegaFauna Marinha)</t>
  </si>
  <si>
    <t>OCEAN REVOLUTION</t>
  </si>
  <si>
    <t>ACOORD</t>
  </si>
  <si>
    <t>OCSIDA</t>
  </si>
  <si>
    <t>VILLAGE RESEARCH</t>
  </si>
  <si>
    <t>Sinergia Mocambique</t>
  </si>
  <si>
    <t>Azevedo Suege</t>
  </si>
  <si>
    <t>asuege2@yahoo.com</t>
  </si>
  <si>
    <t>Marta Cumbi</t>
  </si>
  <si>
    <t xml:space="preserve">mcidadania2020@gmail.com </t>
  </si>
  <si>
    <t xml:space="preserve">Clemence Lanfa </t>
  </si>
  <si>
    <t xml:space="preserve">
clanga@pedaids.org</t>
  </si>
  <si>
    <t>Eva Andrade</t>
  </si>
  <si>
    <t xml:space="preserve">
evajandade@gmail.com</t>
  </si>
  <si>
    <t xml:space="preserve">Paulo Arnaldo </t>
  </si>
  <si>
    <t>pauloarnaldo.carlos043@gmail.com</t>
  </si>
  <si>
    <t>Arsenio Manjate</t>
  </si>
  <si>
    <t xml:space="preserve">
a.manjate@nweti.org.mz</t>
  </si>
  <si>
    <t>Andre Chambal</t>
  </si>
  <si>
    <t>chambala2@outlook.com</t>
  </si>
  <si>
    <t>Nelson</t>
  </si>
  <si>
    <t>Alice Muruco</t>
  </si>
  <si>
    <t>alice.muruco@redcross.org.mz</t>
  </si>
  <si>
    <t>Bruno Comini</t>
  </si>
  <si>
    <t>849895620 879895620</t>
  </si>
  <si>
    <t xml:space="preserve">b.comini@nooneout.org </t>
  </si>
  <si>
    <t xml:space="preserve">emildo.patricio@marinemegafauna.org </t>
  </si>
  <si>
    <t xml:space="preserve">info@oceanrevolution.org </t>
  </si>
  <si>
    <t>Maputo</t>
  </si>
  <si>
    <t>acoord.acd@gmail.com</t>
  </si>
  <si>
    <t>Graca Dembele</t>
  </si>
  <si>
    <t xml:space="preserve">gdembele@ocsida.org.mz; </t>
  </si>
  <si>
    <t>Sonia Carlos Magaia</t>
  </si>
  <si>
    <t>876993996 869444112</t>
  </si>
  <si>
    <t>carlossonia774@gmail.com</t>
  </si>
  <si>
    <t>Ambiente &amp; Pescas</t>
  </si>
  <si>
    <t>Gênero,Criança e Acção Social</t>
  </si>
  <si>
    <t>Educacao</t>
  </si>
  <si>
    <t xml:space="preserve">Agricultura </t>
  </si>
  <si>
    <t>R.Naturais</t>
  </si>
  <si>
    <t>C.Inhambane, C.Maxixe, Jangamo,Inharrime,Zavala, Homoine, Panda, Massinga,Morrumbene.</t>
  </si>
  <si>
    <t>Jangamo, Massinga e Morrumbene</t>
  </si>
  <si>
    <t>Panda</t>
  </si>
  <si>
    <t>Inharrime, Massinga e Inhassoro</t>
  </si>
  <si>
    <t>C.InhambaneMabote, Vilankulos e Guvuro</t>
  </si>
  <si>
    <t>C.Maxixe, Zavala e Vilankulos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</si>
</sst>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)"/>
  </numFmts>
  <fonts count="28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1"/>
      <color theme="1"/>
      <name val="Bookman Old Style"/>
      <family val="1"/>
    </font>
    <font>
      <b/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u/>
      <sz val="11"/>
      <color theme="10"/>
      <name val="Calibri"/>
      <family val="2"/>
      <scheme val="minor"/>
    </font>
    <font>
      <u/>
      <sz val="12"/>
      <color theme="1"/>
      <name val="Arial Narrow"/>
      <family val="2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b/>
      <sz val="12"/>
      <color theme="1"/>
      <name val="Arial Narrow"/>
      <family val="2"/>
    </font>
    <font>
      <b/>
      <sz val="12"/>
      <name val="Bookman Old Style"/>
      <family val="1"/>
    </font>
    <font>
      <sz val="12"/>
      <color theme="8"/>
      <name val="Arial Narrow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charset val="1"/>
    </font>
    <font>
      <sz val="10"/>
      <color rgb="FF0070C0"/>
      <name val="Calibri"/>
      <family val="2"/>
      <scheme val="minor"/>
    </font>
    <font>
      <sz val="10"/>
      <color rgb="FF0070C0"/>
      <name val="Calibri"/>
      <family val="2"/>
    </font>
    <font>
      <sz val="10"/>
      <color rgb="FF333333"/>
      <name val="Segoe UI"/>
      <family val="2"/>
    </font>
    <font>
      <u/>
      <sz val="11"/>
      <color theme="10"/>
      <name val="Calibri"/>
      <family val="2"/>
    </font>
    <font>
      <sz val="10"/>
      <color rgb="FFFF0000"/>
      <name val="Segoe UI"/>
      <family val="2"/>
    </font>
    <font>
      <u/>
      <sz val="10"/>
      <color rgb="FF0000FF"/>
      <name val="Calibri"/>
      <family val="2"/>
      <charset val="1"/>
    </font>
    <font>
      <sz val="10"/>
      <name val="Calibri"/>
      <family val="2"/>
      <scheme val="minor"/>
    </font>
    <font>
      <u/>
      <sz val="10"/>
      <color theme="10"/>
      <name val="Calibri"/>
      <family val="2"/>
    </font>
    <font>
      <sz val="10"/>
      <color rgb="FF0000FF"/>
      <name val="Calibri"/>
      <family val="2"/>
      <scheme val="minor"/>
    </font>
    <font>
      <sz val="10"/>
      <color theme="1"/>
      <name val="Segoe UI"/>
      <family val="2"/>
    </font>
    <font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1">
    <xf numFmtId="0" fontId="0" fillId="0" borderId="0" xfId="0"/>
    <xf numFmtId="0" fontId="1" fillId="0" borderId="1" xfId="0" applyFont="1" applyBorder="1"/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1" fillId="0" borderId="3" xfId="0" applyFont="1" applyBorder="1"/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left" vertical="center" wrapText="1"/>
    </xf>
    <xf numFmtId="0" fontId="7" fillId="2" borderId="5" xfId="1" applyFont="1" applyFill="1" applyBorder="1" applyAlignment="1">
      <alignment horizontal="left" vertical="center" wrapText="1"/>
    </xf>
    <xf numFmtId="0" fontId="5" fillId="2" borderId="5" xfId="1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2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wrapText="1"/>
    </xf>
    <xf numFmtId="0" fontId="1" fillId="3" borderId="7" xfId="0" applyFont="1" applyFill="1" applyBorder="1"/>
    <xf numFmtId="0" fontId="5" fillId="3" borderId="7" xfId="0" applyFont="1" applyFill="1" applyBorder="1" applyAlignment="1">
      <alignment horizontal="center" vertical="center" wrapText="1"/>
    </xf>
    <xf numFmtId="0" fontId="5" fillId="3" borderId="8" xfId="1" applyFont="1" applyFill="1" applyBorder="1" applyAlignment="1" applyProtection="1">
      <alignment horizontal="left" vertical="center" wrapText="1" readingOrder="1"/>
    </xf>
    <xf numFmtId="0" fontId="10" fillId="0" borderId="0" xfId="0" applyFont="1" applyAlignment="1">
      <alignment horizontal="center"/>
    </xf>
    <xf numFmtId="0" fontId="5" fillId="0" borderId="0" xfId="0" applyFont="1"/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12" fillId="2" borderId="3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wrapText="1"/>
    </xf>
    <xf numFmtId="0" fontId="19" fillId="0" borderId="1" xfId="1" applyFont="1" applyBorder="1" applyAlignment="1" applyProtection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1" fillId="0" borderId="1" xfId="1" applyFont="1" applyBorder="1" applyAlignment="1" applyProtection="1">
      <alignment horizontal="left" vertical="center" wrapText="1"/>
    </xf>
    <xf numFmtId="0" fontId="22" fillId="0" borderId="9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23" fillId="0" borderId="9" xfId="1" applyFont="1" applyBorder="1" applyAlignment="1" applyProtection="1">
      <alignment horizontal="left" vertical="center" wrapText="1"/>
    </xf>
    <xf numFmtId="0" fontId="19" fillId="0" borderId="9" xfId="1" applyFont="1" applyBorder="1" applyAlignment="1" applyProtection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4" fillId="0" borderId="9" xfId="0" applyFont="1" applyFill="1" applyBorder="1" applyAlignment="1">
      <alignment horizontal="left" vertical="center" wrapText="1"/>
    </xf>
    <xf numFmtId="0" fontId="24" fillId="0" borderId="9" xfId="0" applyFont="1" applyFill="1" applyBorder="1" applyAlignment="1">
      <alignment horizontal="left" vertical="center" wrapText="1"/>
    </xf>
    <xf numFmtId="0" fontId="19" fillId="0" borderId="1" xfId="1" applyFont="1" applyBorder="1" applyAlignment="1" applyProtection="1"/>
    <xf numFmtId="0" fontId="19" fillId="0" borderId="0" xfId="1" applyFont="1" applyAlignment="1" applyProtection="1">
      <alignment horizontal="left" vertical="center" readingOrder="1"/>
    </xf>
    <xf numFmtId="0" fontId="14" fillId="0" borderId="15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26" fillId="0" borderId="0" xfId="0" applyNumberFormat="1" applyFont="1"/>
    <xf numFmtId="0" fontId="19" fillId="0" borderId="1" xfId="1" applyFont="1" applyBorder="1" applyAlignment="1" applyProtection="1">
      <alignment horizontal="center" vertical="center" readingOrder="1"/>
    </xf>
    <xf numFmtId="0" fontId="26" fillId="0" borderId="0" xfId="0" applyFont="1"/>
    <xf numFmtId="2" fontId="14" fillId="0" borderId="1" xfId="0" applyNumberFormat="1" applyFont="1" applyBorder="1" applyAlignment="1">
      <alignment horizontal="left" vertical="center" wrapText="1"/>
    </xf>
    <xf numFmtId="0" fontId="1" fillId="0" borderId="9" xfId="0" applyFont="1" applyBorder="1"/>
    <xf numFmtId="0" fontId="9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wrapText="1"/>
    </xf>
    <xf numFmtId="0" fontId="8" fillId="0" borderId="14" xfId="0" applyFont="1" applyBorder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2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1782535</xdr:colOff>
      <xdr:row>0</xdr:row>
      <xdr:rowOff>10348</xdr:rowOff>
    </xdr:from>
    <xdr:to>
      <xdr:col>8</xdr:col>
      <xdr:colOff>349815</xdr:colOff>
      <xdr:row>4</xdr:row>
      <xdr:rowOff>140041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53AFCC2-DA00-4D62-AD96-A3EB097AC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03178" y="10348"/>
          <a:ext cx="975744" cy="9461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mail2074inhambane@plan-international.org" TargetMode="External"/><Relationship Id="rId13" Type="http://schemas.openxmlformats.org/officeDocument/2006/relationships/hyperlink" Target="mailto:chambala2@outlook.com" TargetMode="External"/><Relationship Id="rId18" Type="http://schemas.openxmlformats.org/officeDocument/2006/relationships/hyperlink" Target="mailto:carlossonia774@gmail.com" TargetMode="External"/><Relationship Id="rId3" Type="http://schemas.openxmlformats.org/officeDocument/2006/relationships/hyperlink" Target="mailto:davide.tomberli@gmail.com" TargetMode="External"/><Relationship Id="rId7" Type="http://schemas.openxmlformats.org/officeDocument/2006/relationships/hyperlink" Target="mailto:hortenciaalange@namati.org" TargetMode="External"/><Relationship Id="rId12" Type="http://schemas.openxmlformats.org/officeDocument/2006/relationships/hyperlink" Target="mailto:pauloarnaldo.carlos043@gmail.com" TargetMode="External"/><Relationship Id="rId17" Type="http://schemas.openxmlformats.org/officeDocument/2006/relationships/hyperlink" Target="mailto:gdembele@ocsida.org.mz" TargetMode="External"/><Relationship Id="rId2" Type="http://schemas.openxmlformats.org/officeDocument/2006/relationships/hyperlink" Target="mailto:fabiana.arieti@medicusmundi.it" TargetMode="External"/><Relationship Id="rId16" Type="http://schemas.openxmlformats.org/officeDocument/2006/relationships/hyperlink" Target="mailto:info@oceanrevolution.org" TargetMode="External"/><Relationship Id="rId20" Type="http://schemas.openxmlformats.org/officeDocument/2006/relationships/drawing" Target="../drawings/drawing1.xml"/><Relationship Id="rId1" Type="http://schemas.openxmlformats.org/officeDocument/2006/relationships/hyperlink" Target="mailto:basiliol@universalleaf.com" TargetMode="External"/><Relationship Id="rId6" Type="http://schemas.openxmlformats.org/officeDocument/2006/relationships/hyperlink" Target="mailto:hcumbe@psi.org.mz" TargetMode="External"/><Relationship Id="rId11" Type="http://schemas.openxmlformats.org/officeDocument/2006/relationships/hyperlink" Target="mailto:mcidadania2020@gmail.com" TargetMode="External"/><Relationship Id="rId5" Type="http://schemas.openxmlformats.org/officeDocument/2006/relationships/hyperlink" Target="mailto:rpaulo@fh.org" TargetMode="External"/><Relationship Id="rId15" Type="http://schemas.openxmlformats.org/officeDocument/2006/relationships/hyperlink" Target="mailto:acoord.acd@gmail.com" TargetMode="External"/><Relationship Id="rId10" Type="http://schemas.openxmlformats.org/officeDocument/2006/relationships/hyperlink" Target="mailto:adelaide.monjane@tdh-southern-africa.org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salvi.ros@asfes.org" TargetMode="External"/><Relationship Id="rId9" Type="http://schemas.openxmlformats.org/officeDocument/2006/relationships/hyperlink" Target="mailto:n.nhacutone@iyfnet.org" TargetMode="External"/><Relationship Id="rId14" Type="http://schemas.openxmlformats.org/officeDocument/2006/relationships/hyperlink" Target="mailto:emildo.patricio@marinemegafauna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"/>
  <sheetViews>
    <sheetView tabSelected="1" topLeftCell="A67" workbookViewId="0">
      <selection activeCell="I74" sqref="I74"/>
    </sheetView>
  </sheetViews>
  <sheetFormatPr defaultRowHeight="15.75"/>
  <cols>
    <col min="1" max="1" width="5.42578125" style="10" customWidth="1"/>
    <col min="2" max="2" width="39.85546875" customWidth="1"/>
    <col min="3" max="3" width="11" customWidth="1"/>
    <col min="4" max="4" width="8.42578125" customWidth="1"/>
    <col min="5" max="5" width="12.85546875" customWidth="1"/>
    <col min="6" max="6" width="14.28515625" customWidth="1"/>
    <col min="7" max="7" width="19.140625" customWidth="1"/>
    <col min="8" max="8" width="36.140625" customWidth="1"/>
    <col min="9" max="10" width="20" customWidth="1"/>
    <col min="11" max="11" width="26.7109375" customWidth="1"/>
    <col min="12" max="12" width="20.85546875" style="44" customWidth="1"/>
    <col min="13" max="13" width="20" customWidth="1"/>
    <col min="14" max="14" width="13" customWidth="1"/>
    <col min="15" max="15" width="32.85546875" style="7" customWidth="1"/>
  </cols>
  <sheetData>
    <row r="1" spans="1:15" s="34" customFormat="1">
      <c r="A1" s="33"/>
      <c r="C1" s="35"/>
      <c r="D1" s="36"/>
      <c r="F1" s="36"/>
      <c r="G1" s="36"/>
      <c r="H1" s="35"/>
      <c r="I1" s="36"/>
      <c r="J1" s="36"/>
      <c r="L1" s="39"/>
      <c r="M1" s="37"/>
      <c r="O1" s="38"/>
    </row>
    <row r="2" spans="1:15" s="34" customFormat="1">
      <c r="A2" s="33"/>
      <c r="C2" s="35"/>
      <c r="D2" s="36"/>
      <c r="F2" s="36"/>
      <c r="G2" s="36"/>
      <c r="H2" s="35"/>
      <c r="I2" s="36"/>
      <c r="J2" s="36"/>
      <c r="L2" s="39"/>
      <c r="M2" s="37"/>
      <c r="O2" s="38"/>
    </row>
    <row r="3" spans="1:15" s="34" customFormat="1">
      <c r="A3" s="33"/>
      <c r="C3" s="35"/>
      <c r="D3" s="36"/>
      <c r="F3" s="36"/>
      <c r="G3" s="36"/>
      <c r="H3" s="35"/>
      <c r="I3" s="36"/>
      <c r="J3" s="36"/>
      <c r="L3" s="39"/>
      <c r="M3" s="37"/>
      <c r="O3" s="38"/>
    </row>
    <row r="4" spans="1:15" s="34" customFormat="1">
      <c r="A4" s="33"/>
      <c r="C4" s="35"/>
      <c r="D4" s="36"/>
      <c r="F4" s="36"/>
      <c r="G4" s="36"/>
      <c r="H4" s="35"/>
      <c r="I4" s="36"/>
      <c r="J4" s="36"/>
      <c r="L4" s="39"/>
      <c r="M4" s="37"/>
      <c r="O4" s="38"/>
    </row>
    <row r="5" spans="1:15" s="34" customFormat="1">
      <c r="A5" s="33"/>
      <c r="C5" s="35"/>
      <c r="D5" s="36"/>
      <c r="F5" s="36"/>
      <c r="G5" s="36"/>
      <c r="H5" s="35"/>
      <c r="I5" s="36"/>
      <c r="J5" s="36"/>
      <c r="L5" s="39"/>
      <c r="M5" s="37"/>
      <c r="O5" s="38"/>
    </row>
    <row r="6" spans="1:15" s="34" customFormat="1" ht="17.25" customHeight="1">
      <c r="A6" s="86" t="s">
        <v>5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</row>
    <row r="7" spans="1:15" s="34" customFormat="1" ht="18" customHeight="1">
      <c r="A7" s="87" t="s">
        <v>32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</row>
    <row r="8" spans="1:15" s="34" customFormat="1" ht="16.5" customHeight="1">
      <c r="A8" s="87" t="s">
        <v>33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</row>
    <row r="9" spans="1:15" s="34" customFormat="1" ht="16.5" customHeight="1">
      <c r="A9" s="87" t="s">
        <v>34</v>
      </c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</row>
    <row r="10" spans="1:15" s="34" customFormat="1" ht="18.75" customHeight="1">
      <c r="A10" s="87" t="s">
        <v>35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</row>
    <row r="11" spans="1:15" ht="15.75" customHeight="1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</row>
    <row r="12" spans="1:15" ht="15.75" customHeight="1">
      <c r="A12" s="88" t="s">
        <v>41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</row>
    <row r="13" spans="1:15" ht="15.75" customHeight="1" thickBot="1">
      <c r="A13" s="80" t="s">
        <v>36</v>
      </c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</row>
    <row r="14" spans="1:15" s="17" customFormat="1" ht="15.75" customHeight="1">
      <c r="A14" s="84" t="s">
        <v>13</v>
      </c>
      <c r="B14" s="78" t="s">
        <v>8</v>
      </c>
      <c r="C14" s="78" t="s">
        <v>0</v>
      </c>
      <c r="D14" s="78"/>
      <c r="E14" s="78"/>
      <c r="F14" s="82" t="s">
        <v>7</v>
      </c>
      <c r="G14" s="82"/>
      <c r="H14" s="78" t="s">
        <v>14</v>
      </c>
      <c r="I14" s="78" t="s">
        <v>4</v>
      </c>
      <c r="J14" s="78" t="s">
        <v>15</v>
      </c>
      <c r="K14" s="78" t="s">
        <v>6</v>
      </c>
      <c r="L14" s="78" t="s">
        <v>3</v>
      </c>
      <c r="M14" s="78" t="s">
        <v>24</v>
      </c>
      <c r="N14" s="82" t="s">
        <v>21</v>
      </c>
      <c r="O14" s="83"/>
    </row>
    <row r="15" spans="1:15" s="17" customFormat="1" ht="16.5" thickBot="1">
      <c r="A15" s="85"/>
      <c r="B15" s="79"/>
      <c r="C15" s="8" t="s">
        <v>9</v>
      </c>
      <c r="D15" s="8" t="s">
        <v>10</v>
      </c>
      <c r="E15" s="8" t="s">
        <v>11</v>
      </c>
      <c r="F15" s="18" t="s">
        <v>1</v>
      </c>
      <c r="G15" s="18" t="s">
        <v>2</v>
      </c>
      <c r="H15" s="79"/>
      <c r="I15" s="79"/>
      <c r="J15" s="79"/>
      <c r="K15" s="79"/>
      <c r="L15" s="79"/>
      <c r="M15" s="79"/>
      <c r="N15" s="18" t="s">
        <v>22</v>
      </c>
      <c r="O15" s="24" t="s">
        <v>23</v>
      </c>
    </row>
    <row r="16" spans="1:15" ht="95.25" thickBot="1">
      <c r="A16" s="3">
        <v>1</v>
      </c>
      <c r="B16" s="46" t="s">
        <v>42</v>
      </c>
      <c r="C16" s="11">
        <v>1</v>
      </c>
      <c r="D16" s="11"/>
      <c r="E16" s="11"/>
      <c r="F16" s="11"/>
      <c r="G16" s="45">
        <v>1</v>
      </c>
      <c r="H16" s="19" t="s">
        <v>18</v>
      </c>
      <c r="I16" s="9"/>
      <c r="J16" s="9"/>
      <c r="K16" s="5" t="s">
        <v>45</v>
      </c>
      <c r="L16" s="40"/>
      <c r="M16" s="5" t="s">
        <v>43</v>
      </c>
      <c r="N16" s="19">
        <v>845751444</v>
      </c>
      <c r="O16" s="20" t="s">
        <v>44</v>
      </c>
    </row>
    <row r="17" spans="1:15" s="17" customFormat="1" ht="94.5">
      <c r="A17" s="4">
        <v>2</v>
      </c>
      <c r="B17" s="47" t="s">
        <v>46</v>
      </c>
      <c r="C17" s="12">
        <v>1</v>
      </c>
      <c r="D17" s="12"/>
      <c r="E17" s="12"/>
      <c r="F17" s="12"/>
      <c r="G17" s="12">
        <v>1</v>
      </c>
      <c r="H17" s="19" t="s">
        <v>18</v>
      </c>
      <c r="I17" s="16"/>
      <c r="J17" s="41"/>
      <c r="K17" s="5" t="s">
        <v>45</v>
      </c>
      <c r="L17" s="41"/>
      <c r="M17" s="6"/>
      <c r="N17" s="13"/>
      <c r="O17" s="21" t="s">
        <v>47</v>
      </c>
    </row>
    <row r="18" spans="1:15" ht="16.5" thickBot="1">
      <c r="A18" s="4">
        <v>3</v>
      </c>
      <c r="B18" s="47" t="s">
        <v>48</v>
      </c>
      <c r="C18" s="12">
        <v>1</v>
      </c>
      <c r="D18" s="12"/>
      <c r="E18" s="12"/>
      <c r="F18" s="12"/>
      <c r="G18" s="12">
        <v>1</v>
      </c>
      <c r="H18" s="13" t="s">
        <v>19</v>
      </c>
      <c r="I18" s="1"/>
      <c r="J18" s="1"/>
      <c r="K18" s="6" t="s">
        <v>51</v>
      </c>
      <c r="L18" s="41"/>
      <c r="M18" s="6" t="s">
        <v>49</v>
      </c>
      <c r="N18" s="13">
        <v>840461766</v>
      </c>
      <c r="O18" s="21" t="s">
        <v>50</v>
      </c>
    </row>
    <row r="19" spans="1:15" ht="16.5" thickBot="1">
      <c r="A19" s="4">
        <v>4</v>
      </c>
      <c r="B19" s="47" t="s">
        <v>52</v>
      </c>
      <c r="C19" s="12">
        <v>1</v>
      </c>
      <c r="D19" s="12"/>
      <c r="E19" s="12"/>
      <c r="F19" s="12"/>
      <c r="G19" s="12">
        <v>1</v>
      </c>
      <c r="H19" s="19" t="s">
        <v>18</v>
      </c>
      <c r="I19" s="1"/>
      <c r="J19" s="1"/>
      <c r="K19" s="6" t="s">
        <v>55</v>
      </c>
      <c r="L19" s="41"/>
      <c r="M19" s="6" t="s">
        <v>53</v>
      </c>
      <c r="N19" s="13">
        <v>840249787</v>
      </c>
      <c r="O19" s="22" t="s">
        <v>54</v>
      </c>
    </row>
    <row r="20" spans="1:15">
      <c r="A20" s="4">
        <v>5</v>
      </c>
      <c r="B20" s="47" t="s">
        <v>56</v>
      </c>
      <c r="C20" s="12">
        <v>1</v>
      </c>
      <c r="D20" s="12"/>
      <c r="E20" s="12"/>
      <c r="F20" s="12"/>
      <c r="G20" s="12">
        <v>1</v>
      </c>
      <c r="H20" s="19" t="s">
        <v>18</v>
      </c>
      <c r="I20" s="1"/>
      <c r="J20" s="1"/>
      <c r="K20" s="6" t="s">
        <v>57</v>
      </c>
      <c r="L20" s="41"/>
      <c r="M20" s="6" t="s">
        <v>58</v>
      </c>
      <c r="N20" s="13" t="s">
        <v>59</v>
      </c>
      <c r="O20" s="22"/>
    </row>
    <row r="21" spans="1:15" ht="31.5">
      <c r="A21" s="4">
        <v>6</v>
      </c>
      <c r="B21" s="51" t="s">
        <v>60</v>
      </c>
      <c r="C21" s="12">
        <v>1</v>
      </c>
      <c r="D21" s="12"/>
      <c r="E21" s="12"/>
      <c r="F21" s="12"/>
      <c r="G21" s="12">
        <v>1</v>
      </c>
      <c r="H21" s="13" t="s">
        <v>86</v>
      </c>
      <c r="I21" s="1"/>
      <c r="J21" s="1"/>
      <c r="K21" s="6" t="s">
        <v>87</v>
      </c>
      <c r="L21" s="41"/>
      <c r="M21" s="49"/>
      <c r="N21" s="49"/>
      <c r="O21" s="55"/>
    </row>
    <row r="22" spans="1:15">
      <c r="A22" s="4">
        <v>7</v>
      </c>
      <c r="B22" s="51" t="s">
        <v>61</v>
      </c>
      <c r="C22" s="12">
        <v>1</v>
      </c>
      <c r="D22" s="12"/>
      <c r="E22" s="12"/>
      <c r="F22" s="12"/>
      <c r="G22" s="12">
        <v>1</v>
      </c>
      <c r="H22" s="13" t="s">
        <v>89</v>
      </c>
      <c r="I22" s="1"/>
      <c r="J22" s="1"/>
      <c r="K22" s="6" t="s">
        <v>90</v>
      </c>
      <c r="L22" s="41"/>
      <c r="M22" s="49" t="s">
        <v>71</v>
      </c>
      <c r="N22" s="49">
        <v>846089968</v>
      </c>
      <c r="O22" s="56" t="s">
        <v>79</v>
      </c>
    </row>
    <row r="23" spans="1:15">
      <c r="A23" s="4">
        <v>8</v>
      </c>
      <c r="B23" s="51" t="s">
        <v>62</v>
      </c>
      <c r="C23" s="12">
        <v>1</v>
      </c>
      <c r="D23" s="12"/>
      <c r="E23" s="12"/>
      <c r="F23" s="12"/>
      <c r="G23" s="12">
        <v>1</v>
      </c>
      <c r="H23" s="13" t="s">
        <v>19</v>
      </c>
      <c r="I23" s="1"/>
      <c r="J23" s="1"/>
      <c r="K23" s="6" t="s">
        <v>88</v>
      </c>
      <c r="L23" s="41"/>
      <c r="M23" s="49" t="s">
        <v>72</v>
      </c>
      <c r="N23" s="49">
        <v>842006869</v>
      </c>
      <c r="O23" s="56" t="s">
        <v>80</v>
      </c>
    </row>
    <row r="24" spans="1:15" ht="16.5" thickBot="1">
      <c r="A24" s="4">
        <v>9</v>
      </c>
      <c r="B24" s="51" t="s">
        <v>63</v>
      </c>
      <c r="C24" s="12">
        <v>1</v>
      </c>
      <c r="D24" s="12"/>
      <c r="E24" s="12"/>
      <c r="F24" s="12"/>
      <c r="G24" s="12">
        <v>1</v>
      </c>
      <c r="H24" s="13" t="s">
        <v>19</v>
      </c>
      <c r="I24" s="1"/>
      <c r="J24" s="1"/>
      <c r="K24" s="6" t="s">
        <v>88</v>
      </c>
      <c r="L24" s="41"/>
      <c r="M24" s="48"/>
      <c r="N24" s="48"/>
      <c r="O24" s="57"/>
    </row>
    <row r="25" spans="1:15" ht="32.25" thickBot="1">
      <c r="A25" s="4">
        <v>10</v>
      </c>
      <c r="B25" s="52" t="s">
        <v>64</v>
      </c>
      <c r="C25" s="12">
        <v>1</v>
      </c>
      <c r="D25" s="12"/>
      <c r="E25" s="12"/>
      <c r="F25" s="12"/>
      <c r="G25" s="12">
        <v>1</v>
      </c>
      <c r="H25" s="19" t="s">
        <v>18</v>
      </c>
      <c r="I25" s="1"/>
      <c r="J25" s="1"/>
      <c r="K25" s="5" t="s">
        <v>91</v>
      </c>
      <c r="L25" s="41"/>
      <c r="M25" s="50" t="s">
        <v>73</v>
      </c>
      <c r="N25" s="50">
        <v>865364462</v>
      </c>
      <c r="O25" s="58" t="s">
        <v>81</v>
      </c>
    </row>
    <row r="26" spans="1:15" ht="95.25" thickBot="1">
      <c r="A26" s="4">
        <v>11</v>
      </c>
      <c r="B26" s="51" t="s">
        <v>65</v>
      </c>
      <c r="C26" s="12">
        <v>1</v>
      </c>
      <c r="D26" s="12"/>
      <c r="E26" s="12"/>
      <c r="F26" s="12"/>
      <c r="G26" s="12">
        <v>1</v>
      </c>
      <c r="H26" s="19" t="s">
        <v>18</v>
      </c>
      <c r="I26" s="1"/>
      <c r="J26" s="1"/>
      <c r="K26" s="5" t="s">
        <v>45</v>
      </c>
      <c r="L26" s="41"/>
      <c r="M26" s="49"/>
      <c r="N26" s="49"/>
      <c r="O26" s="55"/>
    </row>
    <row r="27" spans="1:15" s="17" customFormat="1" ht="79.5" thickBot="1">
      <c r="A27" s="4">
        <v>12</v>
      </c>
      <c r="B27" s="53" t="s">
        <v>66</v>
      </c>
      <c r="C27" s="12">
        <v>1</v>
      </c>
      <c r="D27" s="12"/>
      <c r="E27" s="12"/>
      <c r="F27" s="12"/>
      <c r="G27" s="12">
        <v>1</v>
      </c>
      <c r="H27" s="19" t="s">
        <v>93</v>
      </c>
      <c r="I27" s="16"/>
      <c r="J27" s="16"/>
      <c r="K27" s="5" t="s">
        <v>92</v>
      </c>
      <c r="L27" s="41"/>
      <c r="M27" s="49" t="s">
        <v>74</v>
      </c>
      <c r="N27" s="49">
        <v>842450550</v>
      </c>
      <c r="O27" s="56" t="s">
        <v>82</v>
      </c>
    </row>
    <row r="28" spans="1:15" s="17" customFormat="1" ht="48" thickBot="1">
      <c r="A28" s="4">
        <v>13</v>
      </c>
      <c r="B28" s="54" t="s">
        <v>67</v>
      </c>
      <c r="C28" s="12">
        <v>1</v>
      </c>
      <c r="D28" s="12"/>
      <c r="E28" s="12"/>
      <c r="F28" s="12"/>
      <c r="G28" s="12">
        <v>1</v>
      </c>
      <c r="H28" s="13" t="s">
        <v>94</v>
      </c>
      <c r="I28" s="16"/>
      <c r="J28" s="16"/>
      <c r="K28" s="5" t="s">
        <v>95</v>
      </c>
      <c r="L28" s="41"/>
      <c r="M28" s="49"/>
      <c r="N28" s="49"/>
      <c r="O28" s="55"/>
    </row>
    <row r="29" spans="1:15" ht="31.5">
      <c r="A29" s="4">
        <v>14</v>
      </c>
      <c r="B29" s="53" t="s">
        <v>78</v>
      </c>
      <c r="C29" s="12">
        <v>1</v>
      </c>
      <c r="D29" s="12"/>
      <c r="E29" s="12"/>
      <c r="F29" s="12"/>
      <c r="G29" s="12">
        <v>1</v>
      </c>
      <c r="H29" s="13" t="s">
        <v>18</v>
      </c>
      <c r="I29" s="1"/>
      <c r="J29" s="1"/>
      <c r="K29" s="5" t="s">
        <v>96</v>
      </c>
      <c r="L29" s="41"/>
      <c r="M29" s="49" t="s">
        <v>75</v>
      </c>
      <c r="N29" s="49">
        <v>842020901</v>
      </c>
      <c r="O29" s="56" t="s">
        <v>83</v>
      </c>
    </row>
    <row r="30" spans="1:15" ht="32.25" thickBot="1">
      <c r="A30" s="4">
        <v>15</v>
      </c>
      <c r="B30" s="51" t="s">
        <v>68</v>
      </c>
      <c r="C30" s="12">
        <v>1</v>
      </c>
      <c r="D30" s="12"/>
      <c r="E30" s="12"/>
      <c r="F30" s="12"/>
      <c r="G30" s="12">
        <v>1</v>
      </c>
      <c r="H30" s="13" t="s">
        <v>97</v>
      </c>
      <c r="I30" s="1"/>
      <c r="J30" s="1"/>
      <c r="K30" s="6" t="s">
        <v>98</v>
      </c>
      <c r="L30" s="41"/>
      <c r="M30" s="49"/>
      <c r="N30" s="49"/>
      <c r="O30" s="56" t="s">
        <v>84</v>
      </c>
    </row>
    <row r="31" spans="1:15" ht="47.25">
      <c r="A31" s="4">
        <v>16</v>
      </c>
      <c r="B31" s="51" t="s">
        <v>69</v>
      </c>
      <c r="C31" s="12">
        <v>1</v>
      </c>
      <c r="D31" s="12"/>
      <c r="E31" s="12"/>
      <c r="F31" s="12">
        <v>1</v>
      </c>
      <c r="G31" s="12"/>
      <c r="H31" s="13" t="s">
        <v>18</v>
      </c>
      <c r="I31" s="1"/>
      <c r="J31" s="1"/>
      <c r="K31" s="5" t="s">
        <v>99</v>
      </c>
      <c r="L31" s="41"/>
      <c r="M31" s="49" t="s">
        <v>76</v>
      </c>
      <c r="N31" s="49" t="s">
        <v>77</v>
      </c>
      <c r="O31" s="56" t="s">
        <v>85</v>
      </c>
    </row>
    <row r="32" spans="1:15" s="17" customFormat="1" ht="16.5" thickBot="1">
      <c r="A32" s="4">
        <v>17</v>
      </c>
      <c r="B32" s="48" t="s">
        <v>70</v>
      </c>
      <c r="C32" s="12">
        <v>1</v>
      </c>
      <c r="D32" s="12"/>
      <c r="E32" s="12"/>
      <c r="F32" s="12"/>
      <c r="G32" s="12">
        <v>1</v>
      </c>
      <c r="H32" s="13" t="s">
        <v>100</v>
      </c>
      <c r="I32" s="16"/>
      <c r="J32" s="16"/>
      <c r="K32" s="6"/>
      <c r="L32" s="41"/>
      <c r="M32" s="49"/>
      <c r="N32" s="49"/>
      <c r="O32" s="55"/>
    </row>
    <row r="33" spans="1:15" s="17" customFormat="1" ht="48" thickBot="1">
      <c r="A33" s="4">
        <v>18</v>
      </c>
      <c r="B33" s="59" t="s">
        <v>101</v>
      </c>
      <c r="C33" s="12">
        <v>1</v>
      </c>
      <c r="D33" s="12"/>
      <c r="E33" s="12"/>
      <c r="F33" s="12">
        <v>1</v>
      </c>
      <c r="G33" s="12"/>
      <c r="H33" s="13" t="s">
        <v>18</v>
      </c>
      <c r="I33" s="41"/>
      <c r="J33" s="41"/>
      <c r="K33" s="5" t="s">
        <v>116</v>
      </c>
      <c r="L33" s="41"/>
      <c r="M33" s="61"/>
      <c r="N33" s="61">
        <v>879084025</v>
      </c>
      <c r="O33" s="62"/>
    </row>
    <row r="34" spans="1:15" s="17" customFormat="1">
      <c r="A34" s="4">
        <v>19</v>
      </c>
      <c r="B34" s="59" t="s">
        <v>102</v>
      </c>
      <c r="C34" s="12">
        <v>1</v>
      </c>
      <c r="D34" s="12"/>
      <c r="E34" s="12"/>
      <c r="F34" s="12">
        <v>1</v>
      </c>
      <c r="G34" s="12"/>
      <c r="H34" s="19" t="s">
        <v>125</v>
      </c>
      <c r="I34" s="16"/>
      <c r="J34" s="16"/>
      <c r="K34" s="6" t="s">
        <v>126</v>
      </c>
      <c r="L34" s="41"/>
      <c r="M34" s="61"/>
      <c r="N34" s="61"/>
      <c r="O34" s="62"/>
    </row>
    <row r="35" spans="1:15">
      <c r="A35" s="4">
        <v>20</v>
      </c>
      <c r="B35" s="59" t="s">
        <v>103</v>
      </c>
      <c r="C35" s="12">
        <v>1</v>
      </c>
      <c r="D35" s="12"/>
      <c r="E35" s="12"/>
      <c r="F35" s="12">
        <v>1</v>
      </c>
      <c r="G35" s="12"/>
      <c r="H35" s="14" t="s">
        <v>127</v>
      </c>
      <c r="I35" s="1"/>
      <c r="J35" s="1"/>
      <c r="K35" s="6"/>
      <c r="L35" s="41"/>
      <c r="M35" s="61"/>
      <c r="N35" s="61"/>
      <c r="O35" s="62"/>
    </row>
    <row r="36" spans="1:15">
      <c r="A36" s="4">
        <v>21</v>
      </c>
      <c r="B36" s="59" t="s">
        <v>104</v>
      </c>
      <c r="C36" s="12">
        <v>1</v>
      </c>
      <c r="D36" s="12"/>
      <c r="E36" s="12"/>
      <c r="F36" s="12">
        <v>1</v>
      </c>
      <c r="G36" s="12"/>
      <c r="H36" s="13" t="s">
        <v>128</v>
      </c>
      <c r="I36" s="1"/>
      <c r="J36" s="1"/>
      <c r="K36" s="6" t="s">
        <v>129</v>
      </c>
      <c r="L36" s="41"/>
      <c r="M36" s="61"/>
      <c r="N36" s="61"/>
      <c r="O36" s="62"/>
    </row>
    <row r="37" spans="1:15">
      <c r="A37" s="4">
        <v>22</v>
      </c>
      <c r="B37" s="59" t="s">
        <v>105</v>
      </c>
      <c r="C37" s="12">
        <v>1</v>
      </c>
      <c r="D37" s="12"/>
      <c r="E37" s="12"/>
      <c r="F37" s="12">
        <v>1</v>
      </c>
      <c r="G37" s="12"/>
      <c r="H37" s="15" t="s">
        <v>130</v>
      </c>
      <c r="I37" s="1"/>
      <c r="J37" s="1"/>
      <c r="K37" s="13"/>
      <c r="L37" s="41"/>
      <c r="M37" s="61"/>
      <c r="N37" s="61"/>
      <c r="O37" s="62"/>
    </row>
    <row r="38" spans="1:15">
      <c r="A38" s="4">
        <v>23</v>
      </c>
      <c r="B38" s="59" t="s">
        <v>106</v>
      </c>
      <c r="C38" s="12">
        <v>1</v>
      </c>
      <c r="D38" s="12"/>
      <c r="E38" s="12"/>
      <c r="F38" s="12">
        <v>1</v>
      </c>
      <c r="G38" s="12"/>
      <c r="H38" s="15" t="s">
        <v>19</v>
      </c>
      <c r="I38" s="1"/>
      <c r="J38" s="1"/>
      <c r="K38" s="6"/>
      <c r="L38" s="42"/>
      <c r="M38" s="61" t="s">
        <v>117</v>
      </c>
      <c r="N38" s="61">
        <v>846979619</v>
      </c>
      <c r="O38" s="63" t="s">
        <v>118</v>
      </c>
    </row>
    <row r="39" spans="1:15" ht="31.5">
      <c r="A39" s="4">
        <v>24</v>
      </c>
      <c r="B39" s="59" t="s">
        <v>107</v>
      </c>
      <c r="C39" s="12">
        <v>1</v>
      </c>
      <c r="D39" s="12"/>
      <c r="E39" s="12"/>
      <c r="F39" s="12">
        <v>1</v>
      </c>
      <c r="G39" s="12"/>
      <c r="H39" s="15" t="s">
        <v>130</v>
      </c>
      <c r="I39" s="25"/>
      <c r="J39" s="1"/>
      <c r="K39" s="6" t="s">
        <v>131</v>
      </c>
      <c r="L39" s="41"/>
      <c r="M39" s="61"/>
      <c r="N39" s="61"/>
      <c r="O39" s="63"/>
    </row>
    <row r="40" spans="1:15">
      <c r="A40" s="4">
        <v>25</v>
      </c>
      <c r="B40" s="59" t="s">
        <v>108</v>
      </c>
      <c r="C40" s="12">
        <v>1</v>
      </c>
      <c r="D40" s="12"/>
      <c r="E40" s="12"/>
      <c r="F40" s="12">
        <v>1</v>
      </c>
      <c r="G40" s="12"/>
      <c r="H40" s="14" t="s">
        <v>19</v>
      </c>
      <c r="I40" s="1"/>
      <c r="J40" s="1"/>
      <c r="K40" s="6" t="s">
        <v>132</v>
      </c>
      <c r="L40" s="41"/>
      <c r="M40" s="61"/>
      <c r="N40" s="61"/>
      <c r="O40" s="63"/>
    </row>
    <row r="41" spans="1:15">
      <c r="A41" s="4">
        <v>26</v>
      </c>
      <c r="B41" s="59" t="s">
        <v>109</v>
      </c>
      <c r="C41" s="12">
        <v>1</v>
      </c>
      <c r="D41" s="12"/>
      <c r="E41" s="12">
        <v>1</v>
      </c>
      <c r="F41" s="12"/>
      <c r="G41" s="12"/>
      <c r="H41" s="14" t="s">
        <v>19</v>
      </c>
      <c r="I41" s="1"/>
      <c r="J41" s="1"/>
      <c r="K41" s="6" t="s">
        <v>133</v>
      </c>
      <c r="L41" s="41"/>
      <c r="M41" s="61"/>
      <c r="N41" s="61"/>
      <c r="O41" s="63"/>
    </row>
    <row r="42" spans="1:15" ht="25.5">
      <c r="A42" s="4">
        <v>27</v>
      </c>
      <c r="B42" s="59" t="s">
        <v>110</v>
      </c>
      <c r="C42" s="12">
        <v>1</v>
      </c>
      <c r="D42" s="12"/>
      <c r="E42" s="12"/>
      <c r="F42" s="12">
        <v>1</v>
      </c>
      <c r="G42" s="12"/>
      <c r="H42" s="14" t="s">
        <v>19</v>
      </c>
      <c r="I42" s="1"/>
      <c r="J42" s="1"/>
      <c r="K42" s="6" t="s">
        <v>133</v>
      </c>
      <c r="L42" s="41"/>
      <c r="M42" s="61"/>
      <c r="N42" s="61"/>
      <c r="O42" s="63"/>
    </row>
    <row r="43" spans="1:15" ht="31.5">
      <c r="A43" s="4">
        <v>28</v>
      </c>
      <c r="B43" s="59" t="s">
        <v>111</v>
      </c>
      <c r="C43" s="12">
        <v>1</v>
      </c>
      <c r="D43" s="12"/>
      <c r="E43" s="12"/>
      <c r="F43" s="12">
        <v>1</v>
      </c>
      <c r="G43" s="12"/>
      <c r="H43" s="13" t="s">
        <v>134</v>
      </c>
      <c r="I43" s="1"/>
      <c r="J43" s="1"/>
      <c r="K43" s="6"/>
      <c r="L43" s="41"/>
      <c r="M43" s="61" t="s">
        <v>119</v>
      </c>
      <c r="N43" s="61">
        <v>827428333</v>
      </c>
      <c r="O43" s="63" t="s">
        <v>120</v>
      </c>
    </row>
    <row r="44" spans="1:15">
      <c r="A44" s="4">
        <v>29</v>
      </c>
      <c r="B44" s="59" t="s">
        <v>112</v>
      </c>
      <c r="C44" s="12">
        <v>1</v>
      </c>
      <c r="D44" s="12"/>
      <c r="E44" s="12"/>
      <c r="F44" s="12">
        <v>1</v>
      </c>
      <c r="G44" s="12"/>
      <c r="H44" s="13" t="s">
        <v>100</v>
      </c>
      <c r="I44" s="1"/>
      <c r="J44" s="1"/>
      <c r="K44" s="6"/>
      <c r="L44" s="41"/>
      <c r="M44" s="61"/>
      <c r="N44" s="61"/>
      <c r="O44" s="63"/>
    </row>
    <row r="45" spans="1:15">
      <c r="A45" s="4">
        <v>30</v>
      </c>
      <c r="B45" s="59" t="s">
        <v>113</v>
      </c>
      <c r="C45" s="12">
        <v>1</v>
      </c>
      <c r="D45" s="12"/>
      <c r="E45" s="12"/>
      <c r="F45" s="12">
        <v>1</v>
      </c>
      <c r="G45" s="12"/>
      <c r="H45" s="6"/>
      <c r="I45" s="1"/>
      <c r="J45" s="1"/>
      <c r="K45" s="6"/>
      <c r="L45" s="41"/>
      <c r="M45" s="61" t="s">
        <v>121</v>
      </c>
      <c r="N45" s="61"/>
      <c r="O45" s="63" t="s">
        <v>122</v>
      </c>
    </row>
    <row r="46" spans="1:15">
      <c r="A46" s="4">
        <v>31</v>
      </c>
      <c r="B46" s="60" t="s">
        <v>114</v>
      </c>
      <c r="C46" s="12">
        <v>1</v>
      </c>
      <c r="D46" s="12"/>
      <c r="E46" s="12"/>
      <c r="F46" s="12">
        <v>1</v>
      </c>
      <c r="G46" s="12"/>
      <c r="H46" s="6"/>
      <c r="I46" s="1"/>
      <c r="J46" s="1"/>
      <c r="K46" s="6"/>
      <c r="L46" s="41"/>
      <c r="M46" s="61"/>
      <c r="N46" s="61"/>
      <c r="O46" s="63"/>
    </row>
    <row r="47" spans="1:15" ht="25.5">
      <c r="A47" s="4">
        <v>32</v>
      </c>
      <c r="B47" s="60" t="s">
        <v>115</v>
      </c>
      <c r="C47" s="12">
        <v>1</v>
      </c>
      <c r="D47" s="12"/>
      <c r="E47" s="12"/>
      <c r="F47" s="12">
        <v>1</v>
      </c>
      <c r="G47" s="12"/>
      <c r="H47" s="6"/>
      <c r="I47" s="1"/>
      <c r="J47" s="1"/>
      <c r="K47" s="6"/>
      <c r="L47" s="41"/>
      <c r="M47" s="61" t="s">
        <v>123</v>
      </c>
      <c r="N47" s="61">
        <v>844334404</v>
      </c>
      <c r="O47" s="63" t="s">
        <v>124</v>
      </c>
    </row>
    <row r="48" spans="1:15">
      <c r="A48" s="4">
        <v>33</v>
      </c>
      <c r="B48" s="59" t="s">
        <v>135</v>
      </c>
      <c r="C48" s="12">
        <v>1</v>
      </c>
      <c r="D48" s="12"/>
      <c r="E48" s="12"/>
      <c r="F48" s="12">
        <v>1</v>
      </c>
      <c r="G48" s="12"/>
      <c r="H48" s="76" t="s">
        <v>185</v>
      </c>
      <c r="I48" s="1"/>
      <c r="J48" s="1"/>
      <c r="K48" s="6"/>
      <c r="L48" s="41"/>
      <c r="M48" s="61" t="s">
        <v>156</v>
      </c>
      <c r="N48" s="49"/>
      <c r="O48" s="56" t="s">
        <v>157</v>
      </c>
    </row>
    <row r="49" spans="1:15">
      <c r="A49" s="4">
        <v>34</v>
      </c>
      <c r="B49" s="59" t="s">
        <v>136</v>
      </c>
      <c r="C49" s="12">
        <v>1</v>
      </c>
      <c r="D49" s="12"/>
      <c r="E49" s="12">
        <v>1</v>
      </c>
      <c r="F49" s="12"/>
      <c r="G49" s="12"/>
      <c r="H49" s="76" t="s">
        <v>186</v>
      </c>
      <c r="I49" s="1"/>
      <c r="J49" s="1"/>
      <c r="K49" s="6"/>
      <c r="L49" s="41"/>
      <c r="M49" s="61" t="s">
        <v>158</v>
      </c>
      <c r="N49" s="49">
        <v>868237000</v>
      </c>
      <c r="O49" s="68" t="s">
        <v>159</v>
      </c>
    </row>
    <row r="50" spans="1:15" ht="16.5" thickBot="1">
      <c r="A50" s="4">
        <v>35</v>
      </c>
      <c r="B50" s="59" t="s">
        <v>137</v>
      </c>
      <c r="C50" s="12">
        <v>1</v>
      </c>
      <c r="D50" s="12"/>
      <c r="E50" s="12"/>
      <c r="F50" s="12">
        <v>1</v>
      </c>
      <c r="G50" s="12"/>
      <c r="H50" s="76" t="s">
        <v>185</v>
      </c>
      <c r="I50" s="1"/>
      <c r="J50" s="1"/>
      <c r="K50" s="6"/>
      <c r="L50" s="41"/>
      <c r="M50" s="61"/>
      <c r="N50" s="49"/>
      <c r="O50" s="63"/>
    </row>
    <row r="51" spans="1:15" ht="94.5">
      <c r="A51" s="4">
        <v>36</v>
      </c>
      <c r="B51" s="64" t="s">
        <v>138</v>
      </c>
      <c r="C51" s="12">
        <v>1</v>
      </c>
      <c r="D51" s="12"/>
      <c r="E51" s="12"/>
      <c r="F51" s="12">
        <v>1</v>
      </c>
      <c r="G51" s="12"/>
      <c r="H51" s="76" t="s">
        <v>89</v>
      </c>
      <c r="I51" s="1"/>
      <c r="J51" s="1"/>
      <c r="K51" s="5" t="s">
        <v>45</v>
      </c>
      <c r="L51" s="41"/>
      <c r="M51" s="49" t="s">
        <v>160</v>
      </c>
      <c r="N51" s="69">
        <v>843105820</v>
      </c>
      <c r="O51" s="70" t="s">
        <v>161</v>
      </c>
    </row>
    <row r="52" spans="1:15" ht="29.25" thickBot="1">
      <c r="A52" s="4">
        <v>37</v>
      </c>
      <c r="B52" s="64" t="s">
        <v>139</v>
      </c>
      <c r="C52" s="12">
        <v>1</v>
      </c>
      <c r="D52" s="12"/>
      <c r="E52" s="12"/>
      <c r="F52" s="12">
        <v>1</v>
      </c>
      <c r="G52" s="12"/>
      <c r="H52" s="76" t="s">
        <v>89</v>
      </c>
      <c r="I52" s="1"/>
      <c r="J52" s="1"/>
      <c r="K52" s="6"/>
      <c r="L52" s="41"/>
      <c r="M52" s="49" t="s">
        <v>162</v>
      </c>
      <c r="N52" s="49">
        <v>846509622</v>
      </c>
      <c r="O52" s="70" t="s">
        <v>163</v>
      </c>
    </row>
    <row r="53" spans="1:15" ht="63">
      <c r="A53" s="4">
        <v>38</v>
      </c>
      <c r="B53" s="64" t="s">
        <v>140</v>
      </c>
      <c r="C53" s="12">
        <v>1</v>
      </c>
      <c r="D53" s="12"/>
      <c r="E53" s="12"/>
      <c r="F53" s="12">
        <v>1</v>
      </c>
      <c r="G53" s="12"/>
      <c r="H53" s="76" t="s">
        <v>89</v>
      </c>
      <c r="I53" s="1"/>
      <c r="J53" s="1"/>
      <c r="K53" s="5" t="s">
        <v>190</v>
      </c>
      <c r="L53" s="41"/>
      <c r="M53" s="49" t="s">
        <v>164</v>
      </c>
      <c r="N53" s="49">
        <v>844463555</v>
      </c>
      <c r="O53" s="56" t="s">
        <v>165</v>
      </c>
    </row>
    <row r="54" spans="1:15" ht="31.5">
      <c r="A54" s="4">
        <v>39</v>
      </c>
      <c r="B54" s="64" t="s">
        <v>141</v>
      </c>
      <c r="C54" s="12">
        <v>1</v>
      </c>
      <c r="D54" s="12"/>
      <c r="E54" s="12"/>
      <c r="F54" s="12">
        <v>1</v>
      </c>
      <c r="G54" s="12"/>
      <c r="H54" s="76" t="s">
        <v>89</v>
      </c>
      <c r="I54" s="1"/>
      <c r="J54" s="1"/>
      <c r="K54" s="6" t="s">
        <v>191</v>
      </c>
      <c r="L54" s="41"/>
      <c r="M54" s="49" t="s">
        <v>166</v>
      </c>
      <c r="N54" s="49">
        <v>828861130</v>
      </c>
      <c r="O54" s="56" t="s">
        <v>167</v>
      </c>
    </row>
    <row r="55" spans="1:15">
      <c r="A55" s="4">
        <v>40</v>
      </c>
      <c r="B55" s="64" t="s">
        <v>142</v>
      </c>
      <c r="C55" s="12">
        <v>1</v>
      </c>
      <c r="D55" s="12"/>
      <c r="E55" s="12"/>
      <c r="F55" s="12">
        <v>1</v>
      </c>
      <c r="G55" s="12"/>
      <c r="H55" s="76" t="s">
        <v>89</v>
      </c>
      <c r="I55" s="1"/>
      <c r="J55" s="1"/>
      <c r="K55" s="6" t="s">
        <v>129</v>
      </c>
      <c r="L55" s="41"/>
      <c r="M55" s="49" t="s">
        <v>168</v>
      </c>
      <c r="N55" s="49">
        <v>876499336</v>
      </c>
      <c r="O55" s="56" t="s">
        <v>169</v>
      </c>
    </row>
    <row r="56" spans="1:15">
      <c r="A56" s="4">
        <v>41</v>
      </c>
      <c r="B56" s="65" t="s">
        <v>143</v>
      </c>
      <c r="C56" s="12">
        <v>1</v>
      </c>
      <c r="D56" s="12"/>
      <c r="E56" s="12"/>
      <c r="F56" s="12">
        <v>1</v>
      </c>
      <c r="G56" s="12"/>
      <c r="H56" s="76" t="s">
        <v>187</v>
      </c>
      <c r="I56" s="1"/>
      <c r="J56" s="1"/>
      <c r="K56" s="6" t="s">
        <v>192</v>
      </c>
      <c r="L56" s="41"/>
      <c r="M56" s="61" t="s">
        <v>170</v>
      </c>
      <c r="N56" s="61">
        <v>842200255</v>
      </c>
      <c r="O56" s="63"/>
    </row>
    <row r="57" spans="1:15">
      <c r="A57" s="4">
        <v>42</v>
      </c>
      <c r="B57" s="59" t="s">
        <v>144</v>
      </c>
      <c r="C57" s="12">
        <v>1</v>
      </c>
      <c r="D57" s="12"/>
      <c r="E57" s="12"/>
      <c r="F57" s="12">
        <v>1</v>
      </c>
      <c r="G57" s="12"/>
      <c r="H57" s="76" t="s">
        <v>188</v>
      </c>
      <c r="I57" s="1"/>
      <c r="J57" s="1"/>
      <c r="K57" s="6"/>
      <c r="L57" s="41"/>
      <c r="M57" s="61"/>
      <c r="N57" s="49"/>
      <c r="O57" s="63"/>
    </row>
    <row r="58" spans="1:15" ht="31.5">
      <c r="A58" s="4">
        <v>43</v>
      </c>
      <c r="B58" s="59" t="s">
        <v>145</v>
      </c>
      <c r="C58" s="12">
        <v>1</v>
      </c>
      <c r="D58" s="12"/>
      <c r="E58" s="12"/>
      <c r="F58" s="12">
        <v>1</v>
      </c>
      <c r="G58" s="12"/>
      <c r="H58" s="76" t="s">
        <v>185</v>
      </c>
      <c r="I58" s="1"/>
      <c r="J58" s="1"/>
      <c r="K58" s="6" t="s">
        <v>193</v>
      </c>
      <c r="L58" s="41"/>
      <c r="M58" s="61"/>
      <c r="N58" s="71"/>
      <c r="O58" s="56"/>
    </row>
    <row r="59" spans="1:15">
      <c r="A59" s="4">
        <v>44</v>
      </c>
      <c r="B59" s="59" t="s">
        <v>146</v>
      </c>
      <c r="C59" s="12">
        <v>1</v>
      </c>
      <c r="D59" s="12"/>
      <c r="E59" s="12"/>
      <c r="F59" s="12">
        <v>1</v>
      </c>
      <c r="G59" s="12"/>
      <c r="H59" s="76" t="s">
        <v>185</v>
      </c>
      <c r="I59" s="1"/>
      <c r="J59" s="1"/>
      <c r="K59" s="6"/>
      <c r="L59" s="41"/>
      <c r="M59" s="61"/>
      <c r="N59" s="71"/>
      <c r="O59" s="56"/>
    </row>
    <row r="60" spans="1:15" ht="31.5">
      <c r="A60" s="4">
        <v>45</v>
      </c>
      <c r="B60" s="59" t="s">
        <v>147</v>
      </c>
      <c r="C60" s="12">
        <v>1</v>
      </c>
      <c r="D60" s="12"/>
      <c r="E60" s="12"/>
      <c r="F60" s="12"/>
      <c r="G60" s="12"/>
      <c r="H60" s="76" t="s">
        <v>186</v>
      </c>
      <c r="I60" s="1"/>
      <c r="J60" s="1"/>
      <c r="K60" s="6" t="s">
        <v>194</v>
      </c>
      <c r="L60" s="41"/>
      <c r="M60" s="61" t="s">
        <v>171</v>
      </c>
      <c r="N60" s="71">
        <v>876705470</v>
      </c>
      <c r="O60" s="56" t="s">
        <v>172</v>
      </c>
    </row>
    <row r="61" spans="1:15">
      <c r="A61" s="4">
        <v>46</v>
      </c>
      <c r="B61" s="59" t="s">
        <v>148</v>
      </c>
      <c r="C61" s="12">
        <v>1</v>
      </c>
      <c r="D61" s="12"/>
      <c r="E61" s="12"/>
      <c r="F61" s="12"/>
      <c r="G61" s="12"/>
      <c r="H61" s="76" t="s">
        <v>187</v>
      </c>
      <c r="I61" s="1"/>
      <c r="J61" s="1"/>
      <c r="K61" s="6"/>
      <c r="L61" s="41"/>
      <c r="M61" s="61"/>
      <c r="N61" s="71"/>
      <c r="O61" s="56"/>
    </row>
    <row r="62" spans="1:15" ht="25.5">
      <c r="A62" s="4">
        <v>47</v>
      </c>
      <c r="B62" s="59" t="s">
        <v>149</v>
      </c>
      <c r="C62" s="12">
        <v>1</v>
      </c>
      <c r="D62" s="12"/>
      <c r="E62" s="12"/>
      <c r="F62" s="12"/>
      <c r="G62" s="12"/>
      <c r="H62" s="76" t="s">
        <v>188</v>
      </c>
      <c r="I62" s="1"/>
      <c r="J62" s="1"/>
      <c r="K62" s="6"/>
      <c r="L62" s="41"/>
      <c r="M62" s="61" t="s">
        <v>173</v>
      </c>
      <c r="N62" s="71" t="s">
        <v>174</v>
      </c>
      <c r="O62" s="56" t="s">
        <v>175</v>
      </c>
    </row>
    <row r="63" spans="1:15">
      <c r="A63" s="4">
        <v>48</v>
      </c>
      <c r="B63" s="59" t="s">
        <v>150</v>
      </c>
      <c r="C63" s="12">
        <v>1</v>
      </c>
      <c r="D63" s="12"/>
      <c r="E63" s="12"/>
      <c r="F63" s="12"/>
      <c r="G63" s="12"/>
      <c r="H63" s="76" t="s">
        <v>185</v>
      </c>
      <c r="I63" s="1"/>
      <c r="J63" s="1"/>
      <c r="K63" s="6"/>
      <c r="L63" s="41"/>
      <c r="M63" s="61"/>
      <c r="N63" s="72">
        <v>842461672</v>
      </c>
      <c r="O63" s="73" t="s">
        <v>176</v>
      </c>
    </row>
    <row r="64" spans="1:15">
      <c r="A64" s="4">
        <v>49</v>
      </c>
      <c r="B64" s="59" t="s">
        <v>151</v>
      </c>
      <c r="C64" s="12">
        <v>1</v>
      </c>
      <c r="D64" s="12"/>
      <c r="E64" s="12"/>
      <c r="F64" s="12"/>
      <c r="G64" s="12"/>
      <c r="H64" s="76" t="s">
        <v>185</v>
      </c>
      <c r="I64" s="1"/>
      <c r="J64" s="1"/>
      <c r="K64" s="6"/>
      <c r="L64" s="41"/>
      <c r="M64" s="61"/>
      <c r="N64" s="71">
        <v>846914529</v>
      </c>
      <c r="O64" s="67" t="s">
        <v>177</v>
      </c>
    </row>
    <row r="65" spans="1:15">
      <c r="A65" s="4">
        <v>50</v>
      </c>
      <c r="B65" s="59" t="s">
        <v>152</v>
      </c>
      <c r="C65" s="12">
        <v>1</v>
      </c>
      <c r="D65" s="12"/>
      <c r="E65" s="12"/>
      <c r="F65" s="12"/>
      <c r="G65" s="12"/>
      <c r="H65" s="76" t="s">
        <v>189</v>
      </c>
      <c r="I65" s="1"/>
      <c r="J65" s="1"/>
      <c r="K65" s="6"/>
      <c r="L65" s="41"/>
      <c r="M65" s="61" t="s">
        <v>178</v>
      </c>
      <c r="N65" s="74">
        <v>824863530</v>
      </c>
      <c r="O65" s="67" t="s">
        <v>179</v>
      </c>
    </row>
    <row r="66" spans="1:15" ht="32.25" thickBot="1">
      <c r="A66" s="4">
        <v>51</v>
      </c>
      <c r="B66" s="59" t="s">
        <v>153</v>
      </c>
      <c r="C66" s="12">
        <v>1</v>
      </c>
      <c r="D66" s="12"/>
      <c r="E66" s="12"/>
      <c r="F66" s="12"/>
      <c r="G66" s="12"/>
      <c r="H66" s="76" t="s">
        <v>89</v>
      </c>
      <c r="I66" s="1"/>
      <c r="J66" s="1"/>
      <c r="K66" s="6" t="s">
        <v>195</v>
      </c>
      <c r="L66" s="41"/>
      <c r="M66" s="61" t="s">
        <v>180</v>
      </c>
      <c r="N66" s="71">
        <v>847422711</v>
      </c>
      <c r="O66" s="68" t="s">
        <v>181</v>
      </c>
    </row>
    <row r="67" spans="1:15" ht="94.5">
      <c r="A67" s="4">
        <v>52</v>
      </c>
      <c r="B67" s="59" t="s">
        <v>154</v>
      </c>
      <c r="C67" s="12">
        <v>1</v>
      </c>
      <c r="D67" s="12"/>
      <c r="E67" s="12"/>
      <c r="F67" s="12"/>
      <c r="G67" s="12"/>
      <c r="H67" s="76" t="s">
        <v>89</v>
      </c>
      <c r="I67" s="1"/>
      <c r="J67" s="1"/>
      <c r="K67" s="5" t="s">
        <v>45</v>
      </c>
      <c r="L67" s="41"/>
      <c r="M67" s="61"/>
      <c r="N67" s="49">
        <v>820099082</v>
      </c>
      <c r="O67" s="63"/>
    </row>
    <row r="68" spans="1:15" ht="25.5">
      <c r="A68" s="4">
        <v>53</v>
      </c>
      <c r="B68" s="66" t="s">
        <v>155</v>
      </c>
      <c r="C68" s="12">
        <v>1</v>
      </c>
      <c r="D68" s="12"/>
      <c r="E68" s="12"/>
      <c r="F68" s="12"/>
      <c r="G68" s="12"/>
      <c r="H68" s="76" t="s">
        <v>89</v>
      </c>
      <c r="I68" s="1"/>
      <c r="J68" s="1"/>
      <c r="K68" s="6"/>
      <c r="L68" s="41"/>
      <c r="M68" s="61" t="s">
        <v>182</v>
      </c>
      <c r="N68" s="75" t="s">
        <v>183</v>
      </c>
      <c r="O68" s="63" t="s">
        <v>184</v>
      </c>
    </row>
    <row r="69" spans="1:15" s="17" customFormat="1" ht="47.25">
      <c r="A69" s="4">
        <v>54</v>
      </c>
      <c r="B69" s="6" t="s">
        <v>27</v>
      </c>
      <c r="C69" s="12">
        <v>1</v>
      </c>
      <c r="D69" s="12"/>
      <c r="E69" s="12"/>
      <c r="F69" s="12"/>
      <c r="G69" s="12">
        <v>1</v>
      </c>
      <c r="H69" s="6" t="s">
        <v>38</v>
      </c>
      <c r="I69" s="41" t="s">
        <v>28</v>
      </c>
      <c r="J69" s="41" t="s">
        <v>39</v>
      </c>
      <c r="K69" s="6" t="s">
        <v>30</v>
      </c>
      <c r="L69" s="41" t="s">
        <v>37</v>
      </c>
      <c r="M69" s="6" t="s">
        <v>31</v>
      </c>
      <c r="N69" s="13">
        <v>867075075</v>
      </c>
      <c r="O69" s="23"/>
    </row>
    <row r="70" spans="1:15" ht="32.25" thickBot="1">
      <c r="A70" s="26">
        <v>55</v>
      </c>
      <c r="B70" s="27" t="s">
        <v>16</v>
      </c>
      <c r="C70" s="28">
        <f>+C69+C68+C67+C66+C65+C64+C63+C62+C61+C60+C59+C58+C57+C56+C55+C54+C53+C52+C51+C50+C49+C48+C47+C46+C45+C44+C43+C42+C41+C40+C39+C38+C37+C36+C35+C34+C33+C32+C31+C30+C29+C28+C27+C26+C25+C24+C23+C22+C21+C20+C19+C17+C16</f>
        <v>53</v>
      </c>
      <c r="D70" s="28"/>
      <c r="E70" s="28"/>
      <c r="F70" s="28" t="e">
        <f>+F16:F69</f>
        <v>#VALUE!</v>
      </c>
      <c r="G70" s="28">
        <v>1</v>
      </c>
      <c r="H70" s="29" t="s">
        <v>17</v>
      </c>
      <c r="I70" s="30"/>
      <c r="J70" s="30"/>
      <c r="K70" s="27" t="s">
        <v>20</v>
      </c>
      <c r="L70" s="43"/>
      <c r="M70" s="27" t="s">
        <v>25</v>
      </c>
      <c r="N70" s="31">
        <v>876126000</v>
      </c>
      <c r="O70" s="32" t="s">
        <v>26</v>
      </c>
    </row>
    <row r="71" spans="1:15">
      <c r="A71" s="81" t="s">
        <v>12</v>
      </c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</row>
    <row r="72" spans="1:15">
      <c r="A72" s="77" t="s">
        <v>29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2"/>
    </row>
    <row r="73" spans="1:15">
      <c r="A73" s="77" t="s">
        <v>40</v>
      </c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2"/>
    </row>
    <row r="74" spans="1:15">
      <c r="H74" s="90">
        <v>55</v>
      </c>
    </row>
  </sheetData>
  <mergeCells count="22">
    <mergeCell ref="A6:O6"/>
    <mergeCell ref="A7:O7"/>
    <mergeCell ref="A8:O8"/>
    <mergeCell ref="A9:O9"/>
    <mergeCell ref="A12:O12"/>
    <mergeCell ref="A10:O10"/>
    <mergeCell ref="A11:O11"/>
    <mergeCell ref="A72:L72"/>
    <mergeCell ref="A73:L73"/>
    <mergeCell ref="I14:I15"/>
    <mergeCell ref="C14:E14"/>
    <mergeCell ref="A13:O13"/>
    <mergeCell ref="A71:O71"/>
    <mergeCell ref="L14:L15"/>
    <mergeCell ref="N14:O14"/>
    <mergeCell ref="M14:M15"/>
    <mergeCell ref="F14:G14"/>
    <mergeCell ref="A14:A15"/>
    <mergeCell ref="B14:B15"/>
    <mergeCell ref="H14:H15"/>
    <mergeCell ref="J14:J15"/>
    <mergeCell ref="K14:K15"/>
  </mergeCells>
  <hyperlinks>
    <hyperlink ref="O70" r:id="rId1"/>
    <hyperlink ref="O22" r:id="rId2"/>
    <hyperlink ref="O23" r:id="rId3"/>
    <hyperlink ref="O25" r:id="rId4"/>
    <hyperlink ref="O27" r:id="rId5"/>
    <hyperlink ref="O29" r:id="rId6"/>
    <hyperlink ref="O31" r:id="rId7"/>
    <hyperlink ref="O30" r:id="rId8"/>
    <hyperlink ref="O38" r:id="rId9"/>
    <hyperlink ref="O43" r:id="rId10"/>
    <hyperlink ref="O49" r:id="rId11"/>
    <hyperlink ref="O53" r:id="rId12"/>
    <hyperlink ref="O55" r:id="rId13"/>
    <hyperlink ref="O63" r:id="rId14" display="mailto:emildo.patricio@marinemegafauna.org"/>
    <hyperlink ref="O65" r:id="rId15" display="mailto:acoord.acd@gmail.com"/>
    <hyperlink ref="O64" r:id="rId16"/>
    <hyperlink ref="O66" r:id="rId17" display="mailto:gdembele@ocsida.org.mz"/>
    <hyperlink ref="O68" r:id="rId18"/>
  </hyperlinks>
  <pageMargins left="0.08" right="0.09" top="0.75" bottom="0.75" header="0.3" footer="0.3"/>
  <pageSetup orientation="landscape" r:id="rId19"/>
  <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Inhambane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Olivio</dc:creator>
  <cp:lastModifiedBy>Marcos Manjate</cp:lastModifiedBy>
  <cp:lastPrinted>2026-02-19T10:58:16Z</cp:lastPrinted>
  <dcterms:created xsi:type="dcterms:W3CDTF">2026-02-19T08:39:29Z</dcterms:created>
  <dcterms:modified xsi:type="dcterms:W3CDTF">2026-09-09T11:20:21Z</dcterms:modified>
</cp:coreProperties>
</file>