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drawings/drawing3.xml" ContentType="application/vnd.openxmlformats-officedocument.drawing+xml"/>
  <Override PartName="/xl/embeddings/oleObject2.bin" ContentType="application/vnd.openxmlformats-officedocument.oleObject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bookViews>
    <workbookView xWindow="0" yWindow="0" windowWidth="19200" windowHeight="11595" tabRatio="591" firstSheet="1" activeTab="4"/>
  </bookViews>
  <sheets>
    <sheet name="Nacionais" sheetId="8" r:id="rId1"/>
    <sheet name="Plan1" sheetId="11" r:id="rId2"/>
    <sheet name="Estrangeiras (2)" sheetId="9" r:id="rId3"/>
    <sheet name="Estrangeiras" sheetId="1" r:id="rId4"/>
    <sheet name="ONG Activas" sheetId="10" r:id="rId5"/>
    <sheet name="Plan5" sheetId="15" r:id="rId6"/>
    <sheet name="Plan4" sheetId="14" r:id="rId7"/>
    <sheet name="Plan3" sheetId="13" r:id="rId8"/>
    <sheet name="Plan2" sheetId="12" r:id="rId9"/>
  </sheets>
  <definedNames>
    <definedName name="_xlnm._FilterDatabase" localSheetId="4" hidden="1">'ONG Activas'!$A$12:$L$100</definedName>
    <definedName name="_xlnm.Print_Area" localSheetId="3">Estrangeiras!$C$1:$O$163</definedName>
    <definedName name="_xlnm.Print_Area" localSheetId="2">'Estrangeiras (2)'!$C$1:$O$168</definedName>
    <definedName name="_xlnm.Print_Area" localSheetId="0">Nacionais!$C$1:$J$63</definedName>
    <definedName name="_xlnm.Print_Area" localSheetId="4">'ONG Activas'!$A$1:$L$108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3" i="8" l="1"/>
  <c r="C54" i="8"/>
  <c r="C55" i="8" s="1"/>
  <c r="C52" i="8"/>
  <c r="B111" i="9" l="1"/>
  <c r="B112" i="9" s="1"/>
  <c r="B113" i="9" s="1"/>
  <c r="B114" i="9" s="1"/>
  <c r="B115" i="9" s="1"/>
  <c r="B116" i="9" s="1"/>
  <c r="B117" i="9" s="1"/>
  <c r="B118" i="9" s="1"/>
  <c r="B119" i="9" s="1"/>
  <c r="B120" i="9" s="1"/>
  <c r="B121" i="9" s="1"/>
  <c r="B122" i="9" s="1"/>
  <c r="B123" i="9" s="1"/>
  <c r="B124" i="9" s="1"/>
  <c r="B125" i="9" s="1"/>
  <c r="B126" i="9" s="1"/>
  <c r="B127" i="9" s="1"/>
  <c r="B128" i="9" s="1"/>
  <c r="B129" i="9" s="1"/>
  <c r="B130" i="9" s="1"/>
  <c r="B131" i="9" s="1"/>
  <c r="B132" i="9" s="1"/>
  <c r="B133" i="9" s="1"/>
  <c r="B134" i="9" s="1"/>
  <c r="B135" i="9" s="1"/>
  <c r="B136" i="9" s="1"/>
  <c r="B137" i="9" s="1"/>
  <c r="B138" i="9" s="1"/>
  <c r="B139" i="9" s="1"/>
  <c r="B140" i="9" s="1"/>
  <c r="B141" i="9" s="1"/>
  <c r="B142" i="9" s="1"/>
  <c r="B143" i="9" s="1"/>
  <c r="B144" i="9" s="1"/>
  <c r="B145" i="9" s="1"/>
  <c r="B146" i="9" s="1"/>
  <c r="B147" i="9" s="1"/>
  <c r="B148" i="9" s="1"/>
  <c r="B149" i="9" s="1"/>
  <c r="B150" i="9" s="1"/>
  <c r="B151" i="9" s="1"/>
  <c r="B152" i="9" s="1"/>
  <c r="B153" i="9" s="1"/>
  <c r="B154" i="9" s="1"/>
  <c r="B155" i="9" s="1"/>
  <c r="B156" i="9" s="1"/>
  <c r="B157" i="9" s="1"/>
  <c r="B158" i="9" s="1"/>
  <c r="B159" i="9" s="1"/>
  <c r="B160" i="9" s="1"/>
  <c r="B104" i="9"/>
  <c r="B105" i="9" s="1"/>
  <c r="B106" i="9" s="1"/>
  <c r="B107" i="9" s="1"/>
  <c r="B108" i="9" s="1"/>
  <c r="B109" i="9" s="1"/>
  <c r="B103" i="9"/>
  <c r="B76" i="9"/>
  <c r="B77" i="9" s="1"/>
  <c r="B78" i="9" s="1"/>
  <c r="B79" i="9" s="1"/>
  <c r="B80" i="9" s="1"/>
  <c r="B81" i="9" s="1"/>
  <c r="B82" i="9" s="1"/>
  <c r="B83" i="9" s="1"/>
  <c r="B84" i="9" s="1"/>
  <c r="B85" i="9" s="1"/>
  <c r="B86" i="9" s="1"/>
  <c r="B87" i="9" s="1"/>
  <c r="B88" i="9" s="1"/>
  <c r="B89" i="9" s="1"/>
  <c r="B90" i="9" s="1"/>
  <c r="B91" i="9" s="1"/>
  <c r="B92" i="9" s="1"/>
  <c r="B93" i="9" s="1"/>
  <c r="B94" i="9" s="1"/>
  <c r="B95" i="9" s="1"/>
  <c r="B96" i="9" s="1"/>
  <c r="B97" i="9" s="1"/>
  <c r="B98" i="9" s="1"/>
  <c r="B99" i="9" s="1"/>
  <c r="B100" i="9" s="1"/>
  <c r="B101" i="9" s="1"/>
  <c r="B102" i="9" s="1"/>
  <c r="B75" i="9"/>
  <c r="B18" i="9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B33" i="9" s="1"/>
  <c r="B34" i="9" s="1"/>
  <c r="B35" i="9" s="1"/>
  <c r="B36" i="9" s="1"/>
  <c r="B37" i="9" s="1"/>
  <c r="B38" i="9" s="1"/>
  <c r="B39" i="9" s="1"/>
  <c r="B40" i="9" s="1"/>
  <c r="B41" i="9" s="1"/>
  <c r="B42" i="9" s="1"/>
  <c r="B43" i="9" s="1"/>
  <c r="B44" i="9" s="1"/>
  <c r="B45" i="9" s="1"/>
  <c r="B46" i="9" s="1"/>
  <c r="B47" i="9" s="1"/>
  <c r="B48" i="9" s="1"/>
  <c r="B49" i="9" s="1"/>
  <c r="B50" i="9" s="1"/>
  <c r="B51" i="9" s="1"/>
  <c r="B52" i="9" s="1"/>
  <c r="B53" i="9" s="1"/>
  <c r="B54" i="9" s="1"/>
  <c r="B55" i="9" s="1"/>
  <c r="B56" i="9" s="1"/>
  <c r="B57" i="9" s="1"/>
  <c r="B58" i="9" s="1"/>
  <c r="B59" i="9" s="1"/>
  <c r="B60" i="9" s="1"/>
  <c r="B61" i="9" s="1"/>
  <c r="B62" i="9" s="1"/>
  <c r="B63" i="9" s="1"/>
  <c r="B64" i="9" s="1"/>
  <c r="B65" i="9" s="1"/>
  <c r="B66" i="9" s="1"/>
  <c r="B67" i="9" s="1"/>
  <c r="B68" i="9" s="1"/>
  <c r="B69" i="9" s="1"/>
  <c r="B70" i="9" s="1"/>
  <c r="B71" i="9" s="1"/>
  <c r="B72" i="9" s="1"/>
  <c r="B73" i="9" s="1"/>
  <c r="B74" i="9" s="1"/>
  <c r="B16" i="9"/>
  <c r="B17" i="9" s="1"/>
  <c r="C15" i="8" l="1"/>
  <c r="C16" i="8" s="1"/>
  <c r="C17" i="8" s="1"/>
  <c r="C18" i="8" s="1"/>
  <c r="C19" i="8" s="1"/>
  <c r="C20" i="8" s="1"/>
  <c r="C21" i="8" s="1"/>
  <c r="C22" i="8" s="1"/>
  <c r="C23" i="8" s="1"/>
  <c r="C24" i="8" s="1"/>
  <c r="C25" i="8" s="1"/>
  <c r="C26" i="8" s="1"/>
  <c r="C27" i="8" s="1"/>
  <c r="C28" i="8" s="1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B15" i="8"/>
  <c r="B16" i="8" s="1"/>
  <c r="B20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C51" i="8" l="1"/>
  <c r="B15" i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5" i="1" s="1"/>
  <c r="B156" i="1" s="1"/>
</calcChain>
</file>

<file path=xl/sharedStrings.xml><?xml version="1.0" encoding="utf-8"?>
<sst xmlns="http://schemas.openxmlformats.org/spreadsheetml/2006/main" count="2812" uniqueCount="1305">
  <si>
    <t>REPÚBLICA DE MOÇAMBIQUE</t>
  </si>
  <si>
    <t>PROVÍNCIA DE SOFALA</t>
  </si>
  <si>
    <t>CONSELHO DOS SERVIÇOS DE REPRESENTAÇÃO DO ESTADO</t>
  </si>
  <si>
    <t>GABINETE DO SECRETÁRIO DE ESTADO</t>
  </si>
  <si>
    <t>N/O</t>
  </si>
  <si>
    <t>DESIGNAÇÃO DA ONG</t>
  </si>
  <si>
    <t>ENDEREÇO</t>
  </si>
  <si>
    <t>PAÍS DE ORIGEM</t>
  </si>
  <si>
    <t>OBJECTIVOS DA ONG</t>
  </si>
  <si>
    <t>FINANCIADOR</t>
  </si>
  <si>
    <t>ÁREA DE INTERVENÇÃO</t>
  </si>
  <si>
    <t>LOCAL/DISTRITO DE ACTUAÇÃO</t>
  </si>
  <si>
    <t>REPRESENTANTE</t>
  </si>
  <si>
    <t>CONTACTOS</t>
  </si>
  <si>
    <t>ANO DE IMPLANTAÇÃO</t>
  </si>
  <si>
    <t>NR. DE COLABORADORES</t>
  </si>
  <si>
    <t>TELEFONE</t>
  </si>
  <si>
    <t>EMAIL</t>
  </si>
  <si>
    <t>Nhamatanda, Beira, Dondo</t>
  </si>
  <si>
    <t>Dondo</t>
  </si>
  <si>
    <t>Action Aid</t>
  </si>
  <si>
    <t>Nhamatanda</t>
  </si>
  <si>
    <t>Educação</t>
  </si>
  <si>
    <t>ADRA</t>
  </si>
  <si>
    <t>AFCC</t>
  </si>
  <si>
    <t>Beira</t>
  </si>
  <si>
    <t>African Fertilizer and Agribusiness Partnership - AFAP</t>
  </si>
  <si>
    <t>Estabelecer mercados mais competitivos e sustentáveis capazes de providenciar incentivos para aumentar a capacidade de acesso e uso de fertilizantes pelos pequenos produtores, entre outros.</t>
  </si>
  <si>
    <t>Agricultura</t>
  </si>
  <si>
    <t>Chibabava</t>
  </si>
  <si>
    <t>Agência de Desenvolvimento do Vale de Zambeze - ADVZ</t>
  </si>
  <si>
    <t>AGRIMERC</t>
  </si>
  <si>
    <t>Búzi</t>
  </si>
  <si>
    <t>Associação Italiana Amici di Raoul Follereau - AIFO</t>
  </si>
  <si>
    <t>Zona do Macuti, Av. Martires da Revolução, nº 654</t>
  </si>
  <si>
    <t>Itália</t>
  </si>
  <si>
    <t>promover acções de informação e educação sanitária dentro das comunidades sobre doenças não transmissiveis, para Hipertenção arterial; Diabetes Mellitus; Cancro do colo do útero e da mama. Para criação demanda no rastreiados e seguimento nas Unidades Sanitárias, entre outros.</t>
  </si>
  <si>
    <t>Saúde</t>
  </si>
  <si>
    <t>Beira, Dondo e Nhamatanda</t>
  </si>
  <si>
    <t>Ferreira Gomba Alberto</t>
  </si>
  <si>
    <t>falberto@aifomoz.org</t>
  </si>
  <si>
    <t>Aldeia de Crianças SOS</t>
  </si>
  <si>
    <t>Áustria</t>
  </si>
  <si>
    <t>Promover o desenv. Humano equitativo sustentável; Melhorar a qualidade de sistema de educação; Fortalecer a capacidade da comunidade para gerir os programas de educação, entre outros.</t>
  </si>
  <si>
    <t>840646170/842419096/820571419</t>
  </si>
  <si>
    <t>Quénia</t>
  </si>
  <si>
    <t>Contribuir para as necessidades humanitárias, desenvolvimento e capacitação das populações pobres e vulneráveis; Promover o crescimento económico em África através dos pequenos agricultores, entre outros.</t>
  </si>
  <si>
    <t>Gorongosa, Nhamatanda e Búzi</t>
  </si>
  <si>
    <t>Republica Portuguesa</t>
  </si>
  <si>
    <t>Contribuir para o adequado funcionamento do ensino pre-escolar, atraves de programas de apadrinhamento, promover a saude das comunidades rurais afectadas pelo ciclone Idai, contribuir para o desenvolvimento do talento jovem atraves da prática desportiva, entre outros.</t>
  </si>
  <si>
    <t>Bayer</t>
  </si>
  <si>
    <t>Nhamatanda, Gorongosa</t>
  </si>
  <si>
    <t>Beira, Dondo</t>
  </si>
  <si>
    <t>Care Internacional</t>
  </si>
  <si>
    <t>Educação, Agricultura</t>
  </si>
  <si>
    <t>Nhamatanda, Búzi, Dondo</t>
  </si>
  <si>
    <t xml:space="preserve">Caritas Diocesana  </t>
  </si>
  <si>
    <t>Centro de Colaboração em Saúde - CCS</t>
  </si>
  <si>
    <t>Elsa Mutemba</t>
  </si>
  <si>
    <t>CESVI-Cooperação e Desenvolvimento</t>
  </si>
  <si>
    <t>Promover modelos sustentáveis de produção agrícola; Assegurar uma cobertura adequada de abrigo, água e assistencia sanitária nas comunidades mais vulneráveis afectadas pelo ciclone, entre outros.</t>
  </si>
  <si>
    <t>Silvia Crespi</t>
  </si>
  <si>
    <t>cesvi@cesvi.org</t>
  </si>
  <si>
    <t>EUA</t>
  </si>
  <si>
    <t>CHASS SMT</t>
  </si>
  <si>
    <t>Provincia</t>
  </si>
  <si>
    <t>Gertrudes Machatine</t>
  </si>
  <si>
    <t>Comitá Di S. Egidio</t>
  </si>
  <si>
    <t>Reduzir e Combater as grandes endemias como HIV-SIDA, Tuberculose, ITSs, garantir apoio a pessoas portadoras adesão ao TARV.</t>
  </si>
  <si>
    <t>Saúde, Assistencia Social</t>
  </si>
  <si>
    <t>825965790/823080328/822750094</t>
  </si>
  <si>
    <t>Comité Ecuménico de Desenvolvimento Económico e Social - CEDES</t>
  </si>
  <si>
    <t>Assistência técnica aos camponeses na produção agrícola, insumos agrícolas; Sensibilização da prevenção do HIV/SIDA; Alfabetização e Educação de Adultos; apoio de raparigas vulneravéis a ter  acesso ao ensino secundário geral, material escolar,uniforme, propinas e internamento.</t>
  </si>
  <si>
    <t>Alemanha</t>
  </si>
  <si>
    <t>Comité Internacional da Cruz Vermelha</t>
  </si>
  <si>
    <t>Educação, Assistencia social</t>
  </si>
  <si>
    <t>Gorongosa</t>
  </si>
  <si>
    <t>Companhia de Sena</t>
  </si>
  <si>
    <t>Marromeu</t>
  </si>
  <si>
    <t>Conselho Cristão de Moçambique - CCM</t>
  </si>
  <si>
    <t>Consórcio Associações com Moçambique - CAM</t>
  </si>
  <si>
    <t>Promover desenv. Humano equitativo e sustentável; Melhorar a qualidade de sistema de educação; Fornecer serviço educativo pré-escolar digno e de qualidade para as crianças e educadores, entre outros.</t>
  </si>
  <si>
    <t>Governo da Província Autónoma de Trento-Itália</t>
  </si>
  <si>
    <t>Cruz Vermelha de Moçambique - CVM</t>
  </si>
  <si>
    <t>Estados Unidos da América</t>
  </si>
  <si>
    <t>Anna Turco</t>
  </si>
  <si>
    <t>anna.turco@mcefamoz.org</t>
  </si>
  <si>
    <t>Damien Foundation Belgtum - DFB</t>
  </si>
  <si>
    <t>Belgica</t>
  </si>
  <si>
    <t>Formação, apoio tecnico, supervisão, combate a TB e Lepra</t>
  </si>
  <si>
    <t>DKT</t>
  </si>
  <si>
    <t>828842947/829924639</t>
  </si>
  <si>
    <t>Douleurs Sans Frontieres</t>
  </si>
  <si>
    <t>França</t>
  </si>
  <si>
    <t>Melhorar as cindiçoes de vida das populaçoes afectadas pela epidemia do HIV-SIDA, desenvolver actividades de rendimento as associaçoes parceiras locais a fim de melhorar de forma sustentável a segurança alimentar e o acesso aos cuidados de saude, entre outros.</t>
  </si>
  <si>
    <t>ECHO</t>
  </si>
  <si>
    <t>Empowering Farmers Foundation</t>
  </si>
  <si>
    <t>Mauricias</t>
  </si>
  <si>
    <t>Melhorar as condições de vida da população rural atraves do desenv. Das cadeias de vida; Contribuir para o crescimento e desenvolvimento, entre outros.</t>
  </si>
  <si>
    <t>Agricultura e Assistência social</t>
  </si>
  <si>
    <t>Envangelisches Werk Fur Diakonie Und Entwichlung - EWDE</t>
  </si>
  <si>
    <t>Ajudar sem distinção todas pessoas que vivem em necessidades fisicas, angustia emocional, pobreza e condiçoes injustas, defender uma sociedade justa e um desenvolvimento sustentável juntamente com as igrejas e as associaçoes diaconais na politica, sociedade e economia, entre outros.</t>
  </si>
  <si>
    <t>Assistência social e Religião</t>
  </si>
  <si>
    <t>Elias João Pedro</t>
  </si>
  <si>
    <t>ESMABAMA</t>
  </si>
  <si>
    <t>Machanga, Chibabava</t>
  </si>
  <si>
    <t>Ever Life Matters</t>
  </si>
  <si>
    <t>FDA-Manica</t>
  </si>
  <si>
    <t>Nhamatanda, Marromeu, Machanga, Búzi, Beira, Dondo</t>
  </si>
  <si>
    <t>Federação das Mulheres para Paz Mundial</t>
  </si>
  <si>
    <t>Japão</t>
  </si>
  <si>
    <t>Educação secundária, redução da cegueira e formação de medicos</t>
  </si>
  <si>
    <t>Akiko Hozan</t>
  </si>
  <si>
    <t>Fh - Association (Food for hungry)</t>
  </si>
  <si>
    <t xml:space="preserve">Fundação Couto </t>
  </si>
  <si>
    <t>Fundação Fé e Cooperação - FEC</t>
  </si>
  <si>
    <t>Republica Portugesa</t>
  </si>
  <si>
    <t>Contribuir para a redução da pobreza, desenvolvimento itegrado da infância, implementar projectos de desenvolvimento nas áreas de assistencia social, educação, cultura, entre outros</t>
  </si>
  <si>
    <t>Educação, Cultura e Assistencia Social</t>
  </si>
  <si>
    <t>Fundación Capital-F.K</t>
  </si>
  <si>
    <t>Contribuir para melhorar o desenvolvimento humano no campo da assistencia social, sector informal e micro crédito; Formação de formadores em educação financeira, entre outros.</t>
  </si>
  <si>
    <t>Assistência social, Sector informal e Micro-crédito, Agricultura</t>
  </si>
  <si>
    <t>África do Sul</t>
  </si>
  <si>
    <t>Promover igualdade do género em todas áreas quer do sector publico, quer do sector privado através de acções de advogacia e apoio, entre outros.</t>
  </si>
  <si>
    <t>Assistência social (Género)</t>
  </si>
  <si>
    <t>Geração BIZ</t>
  </si>
  <si>
    <t>Girl Children Road</t>
  </si>
  <si>
    <t>GIZ (Agencia de Cooperação Alemã)</t>
  </si>
  <si>
    <t>Educação, Apoio institucional</t>
  </si>
  <si>
    <t>Global Alliance for Vaccines and Immunization - GAVI</t>
  </si>
  <si>
    <t>Nhamatanda, Maríngue</t>
  </si>
  <si>
    <t>GMD</t>
  </si>
  <si>
    <t>Assistência social</t>
  </si>
  <si>
    <t>Good Neigbhors Moçambique</t>
  </si>
  <si>
    <t>Coreia do Sul</t>
  </si>
  <si>
    <t>Desenvolver as comunidades e os direitos da criança, entre outros.</t>
  </si>
  <si>
    <t>Greem Helmets</t>
  </si>
  <si>
    <t xml:space="preserve">Health Alliance International - HAI </t>
  </si>
  <si>
    <t>Capacidade institucional, combate a malária, Tuberculose, cuidados de saude materno infantil</t>
  </si>
  <si>
    <t>Beira, Buzi, Caia, Chemba, Cheringoma</t>
  </si>
  <si>
    <t>Cathy Michel</t>
  </si>
  <si>
    <t>825010720/822214601</t>
  </si>
  <si>
    <t>HANDICAP International</t>
  </si>
  <si>
    <t>Formação de associaçoes, supervisão, construção de infraestruturas e apoio tecnico</t>
  </si>
  <si>
    <t>Robert Burny</t>
  </si>
  <si>
    <t>Helpage International</t>
  </si>
  <si>
    <t>Reino Unido</t>
  </si>
  <si>
    <t>Prestar assistência às pessoas idosas; apoiar as instituições e os sistemas de saúde sexual e reprodutiva, entre outros.</t>
  </si>
  <si>
    <t>Catalizar o respeito dos direitos das crianças e das raparigas, assegurando niveis mais elevados de bem-estar, aprendizagem e equidade de genero, entre outros.</t>
  </si>
  <si>
    <t>Horizont 3000</t>
  </si>
  <si>
    <t>Austria</t>
  </si>
  <si>
    <t>IDE Moçambique</t>
  </si>
  <si>
    <t>IITA</t>
  </si>
  <si>
    <t>Instituto American Board</t>
  </si>
  <si>
    <t>Machanga</t>
  </si>
  <si>
    <t>Holanda</t>
  </si>
  <si>
    <t>Prestar assistência a situações de emergência e desenvolver capacidades as pessoas necessitadas, vitimas de conflitos e desastres naturais; oferecer as ONG's a oportunidade de ter assessoria sobre vário assuntos</t>
  </si>
  <si>
    <t>ISRAAID</t>
  </si>
  <si>
    <t>Nhamatanda, Búzi</t>
  </si>
  <si>
    <t>Garantir acesso inclusivo e equitativo a educação de qualidade para crianças, contribuir para a redução da incidencia e prevalencia da transmissão de doenças hidricas por meio de melhoria do abastecimento de água, saneamento e educação em higiene, entre outros.</t>
  </si>
  <si>
    <t>Muanza, Búzi, Dondo</t>
  </si>
  <si>
    <t>Jhpiego</t>
  </si>
  <si>
    <t>843233054/843025104</t>
  </si>
  <si>
    <t>JICA</t>
  </si>
  <si>
    <t>Jó Apoio</t>
  </si>
  <si>
    <t>JOCUM</t>
  </si>
  <si>
    <t>Johanniter Unfall-Hilfe e V</t>
  </si>
  <si>
    <t xml:space="preserve">Combater a pobreza extrema, trabalhar com parceiros, melhorar as condiçoes sanitárias, segurança alimentar e nutricional das comunidades vulneráveis, entre outros. </t>
  </si>
  <si>
    <t>Saúde, Assistencia Social, Genero, Agricultura e Água</t>
  </si>
  <si>
    <t>Emponderar as comunidades rurais; Melhorar a qualidade dos serviços de imunização das instalações de saúde; aumenntar o envolvimento da comunidade para reforçar o apoio à imunização por parte de lideres comunitários, religiosos e politcios; melhorar o envolvimento da comunidade na plalnificação para  aumentar o acesso e a fiabilidade dos serviços de imunização, entre outros.</t>
  </si>
  <si>
    <t>KFW</t>
  </si>
  <si>
    <t>Kuwaugisana</t>
  </si>
  <si>
    <t>Apoiar crianças orfãos em bolsas de estudo, cultivo de murringa, prevenção de PTV, cuidado Domiciliar, mobilização comunitária e Prevenção</t>
  </si>
  <si>
    <t>Caia</t>
  </si>
  <si>
    <t>Mighty Magredy A. Miandica</t>
  </si>
  <si>
    <t>mightyanselmo@gmail.com</t>
  </si>
  <si>
    <t>Land O’Lake</t>
  </si>
  <si>
    <t>Light for The World</t>
  </si>
  <si>
    <t>Australia</t>
  </si>
  <si>
    <t>Zacarias Zicai</t>
  </si>
  <si>
    <t>825820860/843893978</t>
  </si>
  <si>
    <t xml:space="preserve">Malária Consórcio </t>
  </si>
  <si>
    <t>Médicos do Mundo Portugal</t>
  </si>
  <si>
    <t>República Portuguesa</t>
  </si>
  <si>
    <t>Emponderar as comunidades rurais; Contribuir para as necessidades humanitárias e melhoria das condições da população; Fortalelcer as capacidades dos titulares de direitos, obrigações e responsabilidades para garantir a disponibilidade e acesso a saúde, entre outros.</t>
  </si>
  <si>
    <t>Beira, Nhamatanda, Caia, Marromeu, Machanga, Chibabava e Búzi</t>
  </si>
  <si>
    <t>Mentor Iniciative</t>
  </si>
  <si>
    <t>Missão Educar</t>
  </si>
  <si>
    <t>Educação escolar, capacitação de professores, apoio aos OCVs, apoio institucional e construção de infraestruturas escolares</t>
  </si>
  <si>
    <t>NCBA-Clusa Liga das Cooperativas</t>
  </si>
  <si>
    <t>Ligar a população à agricultura inteligente ao clima, atraves de praticas agricolas que se mostrem resilientes às mudança climáticas, permitir o acesso ao mercado, água potável e energia, entre outros.</t>
  </si>
  <si>
    <t>Machanga, Caia, Buzi</t>
  </si>
  <si>
    <t>gisaiasluis@gmail.com</t>
  </si>
  <si>
    <t>OIM</t>
  </si>
  <si>
    <t>ONU HABITAT</t>
  </si>
  <si>
    <t>Infraestruturas</t>
  </si>
  <si>
    <t>ORAM</t>
  </si>
  <si>
    <t>Oxfam</t>
  </si>
  <si>
    <t>Peace Winds Japan</t>
  </si>
  <si>
    <t>Saúde, Assistência social, Educação</t>
  </si>
  <si>
    <t>Búzi, Nhamatanda, Dondo e Beira,</t>
  </si>
  <si>
    <t>Melhorar a saúde das pessoas vulneráveis através da promoção de comportamentos saudaveis e fornecimento de produtos e serviços de saúde, entre outros.</t>
  </si>
  <si>
    <t>21421881/ 843099536</t>
  </si>
  <si>
    <t>generalinfo@psi.org.mz</t>
  </si>
  <si>
    <t>Rare</t>
  </si>
  <si>
    <t>Promover e fortalecer a co-gestão da pesca artesanal costeira</t>
  </si>
  <si>
    <t>Meio ambiente e Co-gestão da pesca artesanal</t>
  </si>
  <si>
    <t>Edmundo Pinto</t>
  </si>
  <si>
    <t>846613753/ 866613000</t>
  </si>
  <si>
    <t>Repssi-Iniciativa Regional de Apoio Psicossocial</t>
  </si>
  <si>
    <t>Contribuir para o desenv. Comunitário e humano; Melhorar o bem-estar psicossocial, entre outros.</t>
  </si>
  <si>
    <t>Júlio Mutemba</t>
  </si>
  <si>
    <t>mutemba@repssi.org</t>
  </si>
  <si>
    <t>Restoring Hope for Education</t>
  </si>
  <si>
    <t>Assistencia social (Educação)</t>
  </si>
  <si>
    <t>Save the Children</t>
  </si>
  <si>
    <t>Transformar positivamente a vida das crianças, reforçar a participação comunitária em processos relativos a saude e bem estar, fortalecer as acçoes de saude sexual, reprodutiva e de consciencialização sobre os direitos dos adolescentes com maoir enfase na rapariga dentro e fora da escola, entre outros.</t>
  </si>
  <si>
    <t>SCI</t>
  </si>
  <si>
    <t>Shelter Cluster</t>
  </si>
  <si>
    <t>Zimbabwe</t>
  </si>
  <si>
    <t>Engajar-se na implementação de projectos de desenv. Comunitário; Ajudar a reduzir o impacto dos actuais desafios sociais; Melhorar a capacidade das autoridades rurais, entre outros.</t>
  </si>
  <si>
    <t>SNV - Organização Holandesa de Desenvolvimento</t>
  </si>
  <si>
    <t>Solidar Suiça</t>
  </si>
  <si>
    <t>Suiça</t>
  </si>
  <si>
    <t>Beira, Chibabava, Búzi, Gorongosa, Chemba</t>
  </si>
  <si>
    <t>Somos Moçambique</t>
  </si>
  <si>
    <t>SOPROC</t>
  </si>
  <si>
    <t>Soul Frater</t>
  </si>
  <si>
    <t>Amparar crianças em risco psicosocial, dentro de condiçoes normais, visando não somente o seu bem estar mas a integração destas em ambiente saudável para um futuro resiliente.</t>
  </si>
  <si>
    <t>Assistência social, Infraestruturas</t>
  </si>
  <si>
    <t>Buzi</t>
  </si>
  <si>
    <t>TB Response</t>
  </si>
  <si>
    <t>TDH-Itália</t>
  </si>
  <si>
    <t>Tearfund</t>
  </si>
  <si>
    <t>Cidade de Chimoio, Bairro 2, Av. 25 de Setembro, nº 835 R/C</t>
  </si>
  <si>
    <t>Emponderar as comunidades rurais; Mobilizar os líderes religiosos e comunitários para participar no processo de desenv. Nas suas comunidades; Realizar campanhas de sensibilização sobre os riscos e desastres por parte das igrejas, comunidades e parceiros locais, através de mapeamento continuo, levantamrento  de capacidades e desenvolvimento de planos de contigência, entre outros.</t>
  </si>
  <si>
    <t>Edgar Pascoal Afonso Jone</t>
  </si>
  <si>
    <t>Técnica Agricola</t>
  </si>
  <si>
    <t>Terre des Hommes</t>
  </si>
  <si>
    <t>THW e Malteser – Cooperação Alemã</t>
  </si>
  <si>
    <t>Tillers International</t>
  </si>
  <si>
    <t>Capacitar agricultores na produção adequada de forragem, na gestão da pastagem, tecnica de alimentação e nutrição para maximizar a produção de leite, entre outros.</t>
  </si>
  <si>
    <t>TZU-CHI</t>
  </si>
  <si>
    <t>UNICEF</t>
  </si>
  <si>
    <t>Village reach</t>
  </si>
  <si>
    <t>Contribuir para o desenv. Comunitário; Melhorar os cuidados primários de saúde; Apoiar o processo de análise, discussão dos dados na planificação das actividades, entre outros.</t>
  </si>
  <si>
    <t>Toda provincia</t>
  </si>
  <si>
    <t>Gregório Janeiro</t>
  </si>
  <si>
    <t>825228730/ 823826589</t>
  </si>
  <si>
    <t>gregorio.janeiro@villagereach.org</t>
  </si>
  <si>
    <t>We Love U</t>
  </si>
  <si>
    <t>World Vision</t>
  </si>
  <si>
    <t>Água e saneamento, Agricultura, Saúde, Educação</t>
  </si>
  <si>
    <t>Melhorar a governança sobre a pesca e diversificar os meios de subsistência para reduzir a pressão sobre os recursos pesqueiros e ecossistemas marinhos; Criação de ambiente favorável para implementação de acções de mitigação as mudanças climática, entre outros.</t>
  </si>
  <si>
    <t>Meio Ambiente</t>
  </si>
  <si>
    <t>Young África</t>
  </si>
  <si>
    <t>25124849 / 824364290 / 845875680</t>
  </si>
  <si>
    <t xml:space="preserve">edgar.jone@tearfund.org/
faustino.araujo@tearfund.org
</t>
  </si>
  <si>
    <t>Caia, Buzi e Nhamatanda</t>
  </si>
  <si>
    <t>Saude</t>
  </si>
  <si>
    <t>847998352/86630421</t>
  </si>
  <si>
    <t>Finlandia</t>
  </si>
  <si>
    <t>Garantir a segurranca alimentar; agricultura de conservacao; cadeias de  valor; agripecuaria; Meio Ambiente; Agua e Saneamento</t>
  </si>
  <si>
    <t>Apoio ao sector de Educação(Melhoria de nivel de educação, redução e de alfabetização), Actividades na comunidade</t>
  </si>
  <si>
    <t>Sergio Filimone Ussaca</t>
  </si>
  <si>
    <t>843901443/824584240</t>
  </si>
  <si>
    <t>sussaca@afap-partnership.org</t>
  </si>
  <si>
    <t>severiano@soscvs.org.mz</t>
  </si>
  <si>
    <t>A.Social</t>
  </si>
  <si>
    <t>Amref - Health Africa</t>
  </si>
  <si>
    <t>Samo Manhica</t>
  </si>
  <si>
    <t>samo.manhiça@amref.org</t>
  </si>
  <si>
    <t>Italia</t>
  </si>
  <si>
    <t>Formação de enfermeiras de saúde materna  infantil</t>
  </si>
  <si>
    <t>AVSI (People for Devlopment)</t>
  </si>
  <si>
    <t>laura Morisio</t>
  </si>
  <si>
    <t>820528018/864662896</t>
  </si>
  <si>
    <t>maputo@avsi.org</t>
  </si>
  <si>
    <t>Educação, Assistência Social, Água e Meio Ambiente</t>
  </si>
  <si>
    <t>de promover a dignidade da pessoa através de projectos integrados, promoção de uso do mercado dos fogões melhorados, no assentamento formal, na promoção da escolarização e desenvolvimento comunitário,</t>
  </si>
  <si>
    <t>Dondo, Beira, Nhamatanda</t>
  </si>
  <si>
    <t>Car For Life</t>
  </si>
  <si>
    <t>Salomão Malidadi</t>
  </si>
  <si>
    <t>salomaodavid71@gmail.com</t>
  </si>
  <si>
    <t>Sofala</t>
  </si>
  <si>
    <t>Car Foundation-PNG</t>
  </si>
  <si>
    <t>Gorongosa, Buzi e Nhamatanda</t>
  </si>
  <si>
    <t>828784120/877020366</t>
  </si>
  <si>
    <t>Saude, Educacao, Accao Social, Agricultura, Meio Ambiente</t>
  </si>
  <si>
    <t>Toda Provincia</t>
  </si>
  <si>
    <t>Cesvistem - Mocambique</t>
  </si>
  <si>
    <t>Figueiredo Rosario</t>
  </si>
  <si>
    <t>moçambique@cesvistem.it</t>
  </si>
  <si>
    <t>Agricultura, saude</t>
  </si>
  <si>
    <t>melhoramento da sustentabilidade no sector agro-pecuario</t>
  </si>
  <si>
    <t>Buzi, Chibabava e Machanga</t>
  </si>
  <si>
    <t>Daina Moiambo</t>
  </si>
  <si>
    <t>moiambodaina@gmail.com</t>
  </si>
  <si>
    <t xml:space="preserve">America </t>
  </si>
  <si>
    <t>Apoio social as pessoas vulneráveis, HIV/SIDA</t>
  </si>
  <si>
    <t>Ilaria Bracchetti</t>
  </si>
  <si>
    <t>consorciochimoio@cies.it</t>
  </si>
  <si>
    <t xml:space="preserve">Italia </t>
  </si>
  <si>
    <t>Accao Social</t>
  </si>
  <si>
    <t>Fortalecimento de Organizaçoes Comunitarias de Basena Província</t>
  </si>
  <si>
    <t>Chibabava, Dondo, Gorongosa e Nhamatanda</t>
  </si>
  <si>
    <t>Luigi Grando</t>
  </si>
  <si>
    <t xml:space="preserve">Apoio as comunidades em novas têcnicas agricolas </t>
  </si>
  <si>
    <t>828868842 ou 872120709</t>
  </si>
  <si>
    <t>lehnertt81@hotmail.com</t>
  </si>
  <si>
    <t>DGRV- Confederacao Alema das Cooperativas Reiffeisen</t>
  </si>
  <si>
    <t>Desenvolvimento de Cooperativas Leiteiras e Capacidade Institucional , têcnica e Económica</t>
  </si>
  <si>
    <t>Diakonia</t>
  </si>
  <si>
    <t>William Antonio Mulhovo</t>
  </si>
  <si>
    <t>829859505 / 21496053</t>
  </si>
  <si>
    <t>dnataliaz@diakonia.se</t>
  </si>
  <si>
    <t>Suécia</t>
  </si>
  <si>
    <t>Assistencia Social</t>
  </si>
  <si>
    <t>Reforcar as capacidades das organizacoes da sociedadecivil, para promoverem uma agenda que melhore o ambiente da justica economica e socia, democracia e governacao, a equidade de genero, o respeito pelos direitos humanos e a promocao da Paz</t>
  </si>
  <si>
    <t>Gorongosa,Buzi e Nhamatanda</t>
  </si>
  <si>
    <t>Dorcas Aid International</t>
  </si>
  <si>
    <t>Participacao comunitaria na prevencao de ma nutricao , HIV/SIDA e Sanea-mento do meio e cuidados basicos de saude</t>
  </si>
  <si>
    <t>Toda Província</t>
  </si>
  <si>
    <t>DREAM-Comunidade S.Egidio</t>
  </si>
  <si>
    <t>82 5965 790</t>
  </si>
  <si>
    <t>Desoberano@fhi360,org</t>
  </si>
  <si>
    <t>Combate ao HIV/SIDA, garantir apoio a pessoas portadoras e garantir a adesão ao TARV.</t>
  </si>
  <si>
    <t>DVV International</t>
  </si>
  <si>
    <t>ESSOR</t>
  </si>
  <si>
    <t>Franca</t>
  </si>
  <si>
    <t>Formação para o emprego, apoio tecnico e supervisão.</t>
  </si>
  <si>
    <t>Tiago  Coucelo</t>
  </si>
  <si>
    <t>fc.tiagocoucelo@gmail.com</t>
  </si>
  <si>
    <t>845057220 / 23302452</t>
  </si>
  <si>
    <t>solfmpm@gmail.com</t>
  </si>
  <si>
    <t>Federação Luterana</t>
  </si>
  <si>
    <t>Luis Maibece</t>
  </si>
  <si>
    <t>Apoio as Comunidades</t>
  </si>
  <si>
    <t>FHI360 - Found Hunger International</t>
  </si>
  <si>
    <t>fcherene@fhi360.org</t>
  </si>
  <si>
    <t>Formação, apoio tecnico, supervisão e construção de infraestruturas, combate ao HIV/SIDA</t>
  </si>
  <si>
    <t>Fundaçäo AVSI</t>
  </si>
  <si>
    <t>Fundaçäo Kyeema</t>
  </si>
  <si>
    <t xml:space="preserve">Agricultura </t>
  </si>
  <si>
    <t>promover e apoiar o desenvolvimento sustentável das populações carenciadas, providenciar a assistência técnica aos projectos de desenvolvimento rural, com ênfase para a produção avícola e caprinos no sector familiar, reforçar a segurança alimentar e nutricional das populações afectadas pelo Ciclone Kenneth, entre outros</t>
  </si>
  <si>
    <t>Austrália</t>
  </si>
  <si>
    <t>823 128 195</t>
  </si>
  <si>
    <t>famucanse@gainhealth.org</t>
  </si>
  <si>
    <t xml:space="preserve">Saude </t>
  </si>
  <si>
    <t>Promoção de boas maneiras alimentares para erradicacao de desnutricao cronica</t>
  </si>
  <si>
    <t>Teresa Pereira</t>
  </si>
  <si>
    <t>teresa.preira@girlmove.org</t>
  </si>
  <si>
    <t>Educacao e Assistencia Social</t>
  </si>
  <si>
    <t>capacitar raparigas adolescentes e jovens mulheres no sentido de se tornarem agentes de mudança e de desenvolvimento económico, social e humano na sociedade moçambicana.</t>
  </si>
  <si>
    <t>Dondo, Beira e Município na Cidade da Beira</t>
  </si>
  <si>
    <t>Give Directly</t>
  </si>
  <si>
    <t>Combate a pobreza extrema, melhorar a seguranca alimentar e a diversidade alimentar, demosntrar a viabilidade de transferencia de dinheiro para a recuperacao de desastre, etc</t>
  </si>
  <si>
    <t>Gorongosa Restoration Project (GRP)</t>
  </si>
  <si>
    <t>Gorongosa, Nhamatanda, Dondo, Muanza, Cheringoma e Maringue</t>
  </si>
  <si>
    <t>cathy.michel@healthallianceinternational.org / clara.adriano@hai-mz.org</t>
  </si>
  <si>
    <t>rburny@hi-moz.org</t>
  </si>
  <si>
    <t>Helen Keller International</t>
  </si>
  <si>
    <t>Osvaldo Neto</t>
  </si>
  <si>
    <t>21486312 / 823054380</t>
  </si>
  <si>
    <t>HILSWERK  International</t>
  </si>
  <si>
    <t>Maria de Lurdes Mboana</t>
  </si>
  <si>
    <t>846328013 / 823206030  -  Macuti-ao lado do ISCED</t>
  </si>
  <si>
    <t>mmboana@yahoo.com.br</t>
  </si>
  <si>
    <t>Accao Social e saude</t>
  </si>
  <si>
    <t>Fortalecer as capacidades das comunidades , melhoria da saude materno-infantil, combate  ao HIV/SIDA. Fortalecimento das capacidades  dos camponeses, formacao , apoio tecnico construcao das infraestrutura.</t>
  </si>
  <si>
    <t>Cidade da Beira, dondo, nhamatanda, Buzi, chibabava e Machanga</t>
  </si>
  <si>
    <t>www.ideglobal.org</t>
  </si>
  <si>
    <t>International  Fertilizer Development Center - IFDC</t>
  </si>
  <si>
    <t>Marinho Nhembeto</t>
  </si>
  <si>
    <t>ifdcmozmbique@ifdc.or</t>
  </si>
  <si>
    <t>Melhorar o acesso a aliments basicos;  aumento de rendimentos familiares atraves de producao comercial e diversificacao de geracacao de rendimentos</t>
  </si>
  <si>
    <t>adriana.santos@jhpiego.org</t>
  </si>
  <si>
    <t>Cidade da Beira,  Dondo, Buzi, Caia, Muanza, Chemba, Marromeu, Cheringoma, Chibabava, Nhamatanda, Maringue</t>
  </si>
  <si>
    <t>JOHNS HOPKNS - UNIVERSITY</t>
  </si>
  <si>
    <t>Gloria Come / Etelvino</t>
  </si>
  <si>
    <t>865430000 / 8867175999</t>
  </si>
  <si>
    <t>gloriacome@gmail.com / mcunhaque@jhuccp.org.mz</t>
  </si>
  <si>
    <t>Incentivar a importáncia do apoio dos parceiros e da familia  para  que as PVHS adiram ao tratamento</t>
  </si>
  <si>
    <t>829049250 / 869049250  13 Bairro - Manga</t>
  </si>
  <si>
    <t xml:space="preserve">Africa do Sul </t>
  </si>
  <si>
    <t>Fomento Pecuario e produção leiteira</t>
  </si>
  <si>
    <t>z.zicai@light-for-the-world.org</t>
  </si>
  <si>
    <t>Beira (Rua Brito capelo 166, Palmeiras 1)</t>
  </si>
  <si>
    <t>mozambiquerep@mcc.org</t>
  </si>
  <si>
    <t>Medicos Sem Fronteiras</t>
  </si>
  <si>
    <t>Carolina Rose</t>
  </si>
  <si>
    <t>823339900 / 847036555</t>
  </si>
  <si>
    <t>msfocb-beiraps@brusels.msf.org</t>
  </si>
  <si>
    <t>jill.lovell@missioneducate.org</t>
  </si>
  <si>
    <t>Mother to Mother</t>
  </si>
  <si>
    <t>Joaquina</t>
  </si>
  <si>
    <t>Expandir suas actividades em beneficio das comunidades, na eliminacao de HIV mae-filho e no reforco do sistema da saude.</t>
  </si>
  <si>
    <t>Plan International</t>
  </si>
  <si>
    <t>Helder Pires</t>
  </si>
  <si>
    <t>heldepires_07@yahoo.com.br</t>
  </si>
  <si>
    <t>Gerir medicamentos, controlo, armazenamento, distribuicao as Unidades Sanitarias e apoio ao CMAM</t>
  </si>
  <si>
    <t>Cassiano.conjo@savethechildren.org</t>
  </si>
  <si>
    <t>ochauque@snvworld.org / oraciopedrochauque@gmail.com</t>
  </si>
  <si>
    <t>Promover cadeia de valor do gergelin (fomento e comercializacao do gergelim)</t>
  </si>
  <si>
    <t>solidarmos@tdm.co.mz</t>
  </si>
  <si>
    <t>Chido Vaz Chapulene</t>
  </si>
  <si>
    <t>c.fumagalli@tdhitaly.org</t>
  </si>
  <si>
    <t>Assistencia a Infancia, Educação sanitaria das crianças, Formação e Apoio tecnico.</t>
  </si>
  <si>
    <t>Trade Mark East Africa</t>
  </si>
  <si>
    <t>Quenia</t>
  </si>
  <si>
    <t>Comercio</t>
  </si>
  <si>
    <t>World Education Inc.(Bantwana)</t>
  </si>
  <si>
    <t>Carina Stella Paulo</t>
  </si>
  <si>
    <t>23325519/866565514</t>
  </si>
  <si>
    <t>christina_stellini@worlded.org/ nyararai_magudu@mz.worlded.org</t>
  </si>
  <si>
    <t>Saúde, Educação e A. Social</t>
  </si>
  <si>
    <t>Apoio social, Saúde, Educação e Escola da Primeira infáncia, HIV/SIDA</t>
  </si>
  <si>
    <t>Dondo, Nhamatanda e Beira</t>
  </si>
  <si>
    <t>rodrigo.dereyes@fundacioncapital.org/  luis.gonda@fundacioncapital.org</t>
  </si>
  <si>
    <t>Enrico Pietroboni; Julai Sebastião Jone; Paolo Ghisu</t>
  </si>
  <si>
    <t>Nhamatanda, Dondo, Beira</t>
  </si>
  <si>
    <t>Arturo Silva; Emanuela de Vivo</t>
  </si>
  <si>
    <t>Cesar Arroy Vinas; Lehnert Manuel Banda</t>
  </si>
  <si>
    <t>840659536/825700660; 829264468</t>
  </si>
  <si>
    <t>promover do sistema integrado de Educação de adultos contribuindo na erradicação do analfabetismo, expansão e melhoramento na provisão de alfabetização de adultos e jovens, entre outros</t>
  </si>
  <si>
    <t>Búzi, Buzi, Muanza</t>
  </si>
  <si>
    <t>Luís Gonda; Rodrigo de Reyes</t>
  </si>
  <si>
    <t>Panamá/ Colombia</t>
  </si>
  <si>
    <t>Dbeira, ondo, Nhamatanda, Chibabava,Búzi</t>
  </si>
  <si>
    <t>Beira,Buzi e Chibabava</t>
  </si>
  <si>
    <t>Global Alliance for Improved Nutrition - GAIN</t>
  </si>
  <si>
    <t>841521719/403026353; 843125825</t>
  </si>
  <si>
    <t>Lidia Kumer, Jan  Dieter Wiesenmuller</t>
  </si>
  <si>
    <t>Eldon Wagner; Jana Meyer; Zacarias Joao Zimba</t>
  </si>
  <si>
    <t>828468410/825669320; 828468410</t>
  </si>
  <si>
    <t>Helga Schniering; Cassiano Conjo</t>
  </si>
  <si>
    <t>820495910; 824836070 5122627</t>
  </si>
  <si>
    <t>Cidade da Beira, Dondo, Nhamatanda, Búzi</t>
  </si>
  <si>
    <t>Agricultura, Educação, Saúde</t>
  </si>
  <si>
    <t>Rick Overmars, Oracio Chauque</t>
  </si>
  <si>
    <t>21486790/1/827474818, 825299920/872362894</t>
  </si>
  <si>
    <t>Girl Move Foundation</t>
  </si>
  <si>
    <t>Apoior no desenvolvimento do comercio, aliviar a pobreza e promover a criação de emprego atraves da promoção de um crescimento economico, entre outros.</t>
  </si>
  <si>
    <t>Promover a dignidade da pessoa atraves de projectos integrados, promoção de uso e do mercado de fogoes melhorados, promoção da escolarização primária e desenvollvimento comunitário, etc.</t>
  </si>
  <si>
    <t>Acabar com casamentos prematuros e gravideses precosses, melhorar o bem-estar das crianças e respectivas familias, atraves da implementação de projectos nas áreas de saude, educação, higiene, saneamento do meio e protecção infantil, entre outros.</t>
  </si>
  <si>
    <t>Melhorar o acesso pelo apoio aos cuidados primários de saude, fortalecer ligação aos cuidados e referencia antre a comunidade, os centros de saude e hospitais, reforçar o acesso a água potável atraves da melhoria dos sistemas de distribuição de água, entre outros.</t>
  </si>
  <si>
    <t>Médicos com Africa - CUAM</t>
  </si>
  <si>
    <t>Associação para Promoção e Desenv. da Mulher - MAHLAHLE</t>
  </si>
  <si>
    <t>Melhorar a saúde das crianças e das mulheres, formar profissionais de   saúde, combater as doenças transmissiveis e não transmissiveis, aumentar a acessibilidade, qualidade, utilização dos serviços de  saúde materna neonatal e infantil, entre outros.</t>
  </si>
  <si>
    <t>Melhorar o atendimento de dor e sofrimento da população, contribuir para o desenvolvimento rural, segurança alimentar e preservação dos recursos naturais, melhoramento de sistema de educação, entre outros.</t>
  </si>
  <si>
    <t>Agricultura, Educação, Genero, Assistencia Social e Meio Ambiente</t>
  </si>
  <si>
    <t>Amitofo Care Centre of Mozambique</t>
  </si>
  <si>
    <t>Combater a pobreza extrema, nutrir e educar crianças orfãs e vulneráveis, entre outros.</t>
  </si>
  <si>
    <t>Educação e Assistencia social (Saúde)</t>
  </si>
  <si>
    <t>Africa do Sul</t>
  </si>
  <si>
    <t>Caia, Maringue, Gorongosa, Nhamatanda, Buzi, Chibabava</t>
  </si>
  <si>
    <t>Contribuir para melhorar o desenvolvimento humano, reablitação do ecossistema, promoção dos direitos da rapariga, geração de emprego, agricultura familiar e comercial, economia da vida selvagem, entre outros.</t>
  </si>
  <si>
    <t>Educação, Agricultura, Meio  Ambiente, Turismo e Saude</t>
  </si>
  <si>
    <t>World Wide Fund for Nature - WWF</t>
  </si>
  <si>
    <t xml:space="preserve"> Ajuda para o Desenvolvimento de povo para o Povo - ADPP</t>
  </si>
  <si>
    <t xml:space="preserve">Comite Europeu para a Formação e Agricultura - CEFA </t>
  </si>
  <si>
    <t>Clinton Health Acces Initiative - CHAI 
(Clinton Foundation)</t>
  </si>
  <si>
    <t>Centro Informazione Educazione allo Sivlluppo - CIES</t>
  </si>
  <si>
    <t>Comitato Internacional per lo Sviluppo dei Popoli - CISP</t>
  </si>
  <si>
    <t>Cultivating New Frontiers in Agriculture - CNFA</t>
  </si>
  <si>
    <t>Desenv. local para consolidação da paz em Moçambique - DELPAZ</t>
  </si>
  <si>
    <t>Helpcode</t>
  </si>
  <si>
    <t>Population Service International - PSI</t>
  </si>
  <si>
    <t>Programa de Gestao de Finanças Publicas orientadas para o Desenvolvimento - PGFPORT</t>
  </si>
  <si>
    <t>RELAÇÃO NOMINAL DE ONG's ESTRANGEIRAS QUE OPERAM NA PROVÍNCIA</t>
  </si>
  <si>
    <t>Nhamatanda,Maringue, Machanga, Gorongosa, Chibabava, Ndoro no posto Caia-sede, Licoma e Tchetcha no Posto de Sena;</t>
  </si>
  <si>
    <t>874472271/877370819/ 21421734 / 823016204</t>
  </si>
  <si>
    <t>a.sadia@cuamm.org/d.daniel@cuamm.org</t>
  </si>
  <si>
    <t>Fortalecimento do sistema de saude, capacidade institucional, combate ao HIV-SIDA, apoio tecnico, construção de infraestruturas e supervisão.</t>
  </si>
  <si>
    <t>ungumi@apoiar.org</t>
  </si>
  <si>
    <t>Maringue, Gorongosa, Beira</t>
  </si>
  <si>
    <t>admin.sofala@helpcode.org /education.sofala@helpcode.org</t>
  </si>
  <si>
    <t>Valdemira</t>
  </si>
  <si>
    <t>l.diniz</t>
  </si>
  <si>
    <t>Luciano diniz</t>
  </si>
  <si>
    <t>878542021/857201911</t>
  </si>
  <si>
    <t>O Chefe de Repartição</t>
  </si>
  <si>
    <t>Francisco José Tivana</t>
  </si>
  <si>
    <t>(Técnico Superior em Adm/ção Pública)</t>
  </si>
  <si>
    <t>Maputo, Avenida Agostinho Neto 16</t>
  </si>
  <si>
    <t>Fundo Internacional de desenvolvimento para agricultura  (FIDA) e Banco Mundial</t>
  </si>
  <si>
    <t>8730332012 -Bossumane e  841339839-Reyes</t>
  </si>
  <si>
    <t>Beira- palmeiras</t>
  </si>
  <si>
    <t>USAID</t>
  </si>
  <si>
    <t>Pathfinder Internacional</t>
  </si>
  <si>
    <t>Rua G bairro da Coope Cidade de Maputo</t>
  </si>
  <si>
    <t>Escritórios afiliados (COAFRIKA, USAID e FORAFRICA GERMAN), WFP, UNICEF, SASOL, ROMPCOOL e HUMEDICA</t>
  </si>
  <si>
    <t>Alcídio Benjamim Pangaia (sofala) e  Arsénio Mucavel (Maputo)</t>
  </si>
  <si>
    <t>843015451-Mucavel e 849101302-Alcidio</t>
  </si>
  <si>
    <t>Educação, Assistência social, Saúde, Ambiente, Desenvolvimento Rural,     Microfinancas, planificacao</t>
  </si>
  <si>
    <t>Beira, Caia, Nhamatanda, Murraca e Sena</t>
  </si>
  <si>
    <t>846075367/866075367</t>
  </si>
  <si>
    <t>julai.jone@consorciocam.org</t>
  </si>
  <si>
    <t>Caia, Nhamatanda, Maringue, Gorongosa, Chibabava, Sena e Chemba</t>
  </si>
  <si>
    <t>Aurelio Braga</t>
  </si>
  <si>
    <t>manuchobraga@gmail.com</t>
  </si>
  <si>
    <t>Saúde, Extensão rural Agua e Energia</t>
  </si>
  <si>
    <t>Machanga, Búzi, Caia</t>
  </si>
  <si>
    <t>M.Dias@cgiar.org</t>
  </si>
  <si>
    <t>Fortalecer a capacidade de resposta local a questões relativos aos direitos da criança</t>
  </si>
  <si>
    <t xml:space="preserve">Advocacia, educação e sensibilização </t>
  </si>
  <si>
    <t>Caia Sede, Murraca e Sena</t>
  </si>
  <si>
    <t>Filipe Tomas Boca</t>
  </si>
  <si>
    <t>Filipeboca@soproc.org.mz</t>
  </si>
  <si>
    <t>Uniao Europeia</t>
  </si>
  <si>
    <t>editecunhet@yahoo.com.br</t>
  </si>
  <si>
    <t>Dinamarca- EUA</t>
  </si>
  <si>
    <t xml:space="preserve">Salvar vidas humanas, apoiar crianças  vulnaravéis em material escolar, vestuário e calçado. </t>
  </si>
  <si>
    <t>Joao Carlitos Simbo</t>
  </si>
  <si>
    <t>joaocarlitosimbo@gmail.com</t>
  </si>
  <si>
    <t>Global Found Malaria -FH ASSOCIATION</t>
  </si>
  <si>
    <t>Sensibilizar a população sobre a prevenção da malaria, atraves de treinamento dos voluntários dos comites de saude e professores em comunicação para mudança social de comportamento.</t>
  </si>
  <si>
    <t>FUNDO GLOBAL</t>
  </si>
  <si>
    <t>Beira-Estoril</t>
  </si>
  <si>
    <t>Saúde, AGRICULTURA</t>
  </si>
  <si>
    <t>Provincia, Gorongosa</t>
  </si>
  <si>
    <t>Mendoça, Marcos Filipe Mandengo</t>
  </si>
  <si>
    <t>823086346/87775255</t>
  </si>
  <si>
    <t xml:space="preserve">Beira Ponta-Gea, </t>
  </si>
  <si>
    <t>osvaldoricardo5510@gmail.com</t>
  </si>
  <si>
    <t>PMA</t>
  </si>
  <si>
    <t>Andre Bettini, Gonsalves Celestino Z. Nicuaha</t>
  </si>
  <si>
    <t>jzenebo23@gmail.com</t>
  </si>
  <si>
    <t>Beira-Rua Renato Baptista</t>
  </si>
  <si>
    <t>Sediada em Chimoio na Rua da Zambia nº 524</t>
  </si>
  <si>
    <t>COOPERAÇÃO ALEMÃ e SOLIDAR SUISSE</t>
  </si>
  <si>
    <t>Jorge Lampião e Candido Zamdamela</t>
  </si>
  <si>
    <t>25122267/ 872107875</t>
  </si>
  <si>
    <t>Reeitegracao dos pacientes faltosos e abandonos na adesao aos servicos de saude, Cuidados em tratamentos HIV/ITS e TB</t>
  </si>
  <si>
    <t>Marromeu, Machanga, Chibabava, Dondo, Gorongosa, Chemba</t>
  </si>
  <si>
    <t>elsamutemba@ccsaude.org.mz/ araolialeque0@gmail.com/ ccs@ccssaude.org.mz</t>
  </si>
  <si>
    <t>Cooperação Austríaca - DELPAZ</t>
  </si>
  <si>
    <t xml:space="preserve">Desenvolvimento Económico Local </t>
  </si>
  <si>
    <t>União Europeia / ADA  / UNCDF</t>
  </si>
  <si>
    <t>Agricultura e Infra-estruturas</t>
  </si>
  <si>
    <t>Castigo Jorge</t>
  </si>
  <si>
    <t>876956784 / 842556740</t>
  </si>
  <si>
    <t>castigo.jorge@ada.gv.at</t>
  </si>
  <si>
    <t>Beira - Ponta Gea</t>
  </si>
  <si>
    <t>Financiado pela USAID, Fundo Global, e Visão Mundial</t>
  </si>
  <si>
    <t>Nhamatanda, Dondo, Marromeu, Maringue, Gorongosa, Chibabava, Búzi, Caia, Chemba</t>
  </si>
  <si>
    <t xml:space="preserve">Beira-Palmeiras </t>
  </si>
  <si>
    <t>Sensibilizacao da populacao em aderirem o  servico sexual e reprodutivo (Planeamento familiar), SBCC e Projecto de Comunicação Social para Mudança de Comportamento</t>
  </si>
  <si>
    <t>USAID, União Europeia</t>
  </si>
  <si>
    <t>Angelico C. Esmail/ Severino Gabriel, Luis Joaquim Dacamabane, Adi Saimone Veremo</t>
  </si>
  <si>
    <t>873976422/ 861141512/846301203/842623516 / 864347504</t>
  </si>
  <si>
    <t>ldacambane@ifpimozambique.org/ averomo@pathfinder.org/ ernesto@wfp.org</t>
  </si>
  <si>
    <t>Nhamatanda, Machanga, Gorongosa, Chibabava, Búzi, Dondo, Marromeu, Cheringoma</t>
  </si>
  <si>
    <t>Angelico, Armando Tome Ofece</t>
  </si>
  <si>
    <t>843976423/ 842880677</t>
  </si>
  <si>
    <t>Identificação e acompanhamento escolar as crianças vulneravéis, apoio em material escolar e roupa, sensibilização na area de saneamento do meio , AEA e apoio a organização de grupos de poupança, palestras em materia de prevenção  e combate a malária.</t>
  </si>
  <si>
    <t>Patricia Edgar Domingos; Judy HatonSheila Bulha, Viegas Tomás Inocêncio Américo, Teixeira Joao Manuel</t>
  </si>
  <si>
    <t>846776067; 852875383/863986233/848085745 / 862755129/876106118</t>
  </si>
  <si>
    <t xml:space="preserve">patricedga@gmail.com/viegasamerico@gmail.com / vamerico@fh.org/ </t>
  </si>
  <si>
    <t>Alemanha, Italia</t>
  </si>
  <si>
    <t>Melhorar a Resiliência das Mudanças Climáticas das Comunidades, Meios de vida sustentaveis e seguran;a alimentar, Agua e saneamento do meio e desenvolvimento das Instituições, Ajuda humanitária</t>
  </si>
  <si>
    <t>Alemanha/ Cooperacao Italiana</t>
  </si>
  <si>
    <t>Agricultura, Desenvolvimento Comunitário, Agua e saneamento e Assistencia Social</t>
  </si>
  <si>
    <t>Alberto Fernando Vasco, Lenine Amilton, Emélio Tomé Jairosse, Johane Saene Antonio</t>
  </si>
  <si>
    <t>861700550/ 846995884/862158007</t>
  </si>
  <si>
    <t>albertovasco1993@gmail.com/ anesaene91@gmail.com</t>
  </si>
  <si>
    <t>Nhamatanda, Muanza, Gorongosa, Chibabava, Búzi, Dondo, Chemba, Marromeu</t>
  </si>
  <si>
    <t>Fundo Global, USAID</t>
  </si>
  <si>
    <t>Elsa Mutemba, Nelsosn Moreira, Ar\ao Ant]onio Lialeque, Tole Joaquim</t>
  </si>
  <si>
    <t>876667971/879870802/850438670/ 84 1494445</t>
  </si>
  <si>
    <t>-Formação de activistas em matéria de prevenção e controlo da tuberculose na comunidade</t>
  </si>
  <si>
    <t>Isabel Luis Cocorico</t>
  </si>
  <si>
    <t>866097435/ 852647345</t>
  </si>
  <si>
    <t>Formação de conselheiros em ATIP/IEC; Apoio tecnico e construção de infraestruturas. Sensibilização nas comunidades para adesão na unidade sanitaria</t>
  </si>
  <si>
    <t>Adriana Santos, Helder Teresa</t>
  </si>
  <si>
    <t>Jill Lovell/ jullian Elizabeth Lovell</t>
  </si>
  <si>
    <t>Maputo</t>
  </si>
  <si>
    <t>Agência Francesa de Desenvolvimento</t>
  </si>
  <si>
    <t>henriquesbalidy@wwwf.org.mz</t>
  </si>
  <si>
    <t>Abtecho</t>
  </si>
  <si>
    <t>Aumentar a cobertura de TARV, Distribuir medicamentos, vacinas e outro material médico cirurgico, Busca de doentes faltosos e abandonos ao TARV</t>
  </si>
  <si>
    <t>Nunes Dionisio</t>
  </si>
  <si>
    <t>Educação Infantil</t>
  </si>
  <si>
    <t>Marcia Penicela</t>
  </si>
  <si>
    <t>Infraestruturas Escolares</t>
  </si>
  <si>
    <t>Educacao</t>
  </si>
  <si>
    <t>Martin Mikat</t>
  </si>
  <si>
    <t xml:space="preserve">Jamal </t>
  </si>
  <si>
    <t>VOX United</t>
  </si>
  <si>
    <t>Assistencia social no ambito de agua, saniamento e Eucacao</t>
  </si>
  <si>
    <t>Vox</t>
  </si>
  <si>
    <t>Torcatos William</t>
  </si>
  <si>
    <t>william@voxunited.org</t>
  </si>
  <si>
    <t>Saúde, Agua e Saneamento</t>
  </si>
  <si>
    <t>Educação, Assistência Social</t>
  </si>
  <si>
    <t>Agricultura e Assistencia Técnica</t>
  </si>
  <si>
    <t>Agricultura, Assistência Técnica</t>
  </si>
  <si>
    <t>Agricultura e Saúde</t>
  </si>
  <si>
    <t>Educação, Apoio Psicossocial</t>
  </si>
  <si>
    <t>Assistencia social, Habitação</t>
  </si>
  <si>
    <t>Construção e reabilitação de fontes de  água</t>
  </si>
  <si>
    <t>Assistência técnica, distribuição  de insumos e reabilitação de fontes de agua. Promoção da saúde comunitária e assistência aos camponeses</t>
  </si>
  <si>
    <t>Protecção a criança, educação, segurança alimanetr</t>
  </si>
  <si>
    <t>Saúde, Educação, Agricultura</t>
  </si>
  <si>
    <t>Educação, Agricultura, Gestao de recursos naturais, desenvolvimento institucional, Apoio institucional, Assistência social e Organiização Comunitária</t>
  </si>
  <si>
    <t>Promoção de Governação e Dialogo Democrático Sustentavel, criação da plataforma da sociedade civil e apoio aos conselhos consultivos. Apoiar as comunidades locais e promover Desenvolvimento Comunitário através da participação e inclusão de Genéro</t>
  </si>
  <si>
    <t xml:space="preserve">Nhamatanda, Búzi, Caia, </t>
  </si>
  <si>
    <t>Jacob Jenhuro, Edite Cunhete</t>
  </si>
  <si>
    <t>870145550/ 845561111/ 825977690</t>
  </si>
  <si>
    <t>Henriques Balide, Balyde</t>
  </si>
  <si>
    <t>877530067/ 842747130</t>
  </si>
  <si>
    <t>EUA, Suécia</t>
  </si>
  <si>
    <t>Malingapansi/ Marromeu</t>
  </si>
  <si>
    <t>Beira, Caia, Nhamatanda, Chemba, Marromeu</t>
  </si>
  <si>
    <t>Apoiar o fortalecer o desenvolvimento dos distritos atraves de programas rurais integrados, Gestão de fontes de água, Agricultura, Apoio ao sector de Educação</t>
  </si>
  <si>
    <t>Beira- Ponta Gea</t>
  </si>
  <si>
    <t>Beira, Dondo,Chemba, Nhamatanda, Búzi, Gorongosa, Machanga, Chibabava.</t>
  </si>
  <si>
    <t>jan.rietz@horizont3000.org / lydia.kummer@horizont3000.org, escreitorio.beira@horizont 3000.org</t>
  </si>
  <si>
    <t>Nhamatanda, Maringue, Búzi, Caia e Cheringoma</t>
  </si>
  <si>
    <t>Saúde, Assistencia social, Infraestruturas, Educação e Agricultura</t>
  </si>
  <si>
    <t>Nhamatanda e Dondo</t>
  </si>
  <si>
    <t>Stefano Gasparini/Ilda, Henriques</t>
  </si>
  <si>
    <t>842624615/842565540/8439655647</t>
  </si>
  <si>
    <t>Tete</t>
  </si>
  <si>
    <t>MZ</t>
  </si>
  <si>
    <t>Marromeu, Maringue, Búzi e Dondo</t>
  </si>
  <si>
    <t>Xadreque  Muaza</t>
  </si>
  <si>
    <t>EDEN- Reflorestion</t>
  </si>
  <si>
    <t>USA</t>
  </si>
  <si>
    <t>Dondo/ Savane</t>
  </si>
  <si>
    <t>Rafino</t>
  </si>
  <si>
    <t>RARE</t>
  </si>
  <si>
    <t>Dondo /Chimamacondo</t>
  </si>
  <si>
    <t>Eduardo.anibal@yahoo.com.br</t>
  </si>
  <si>
    <t>IUCN</t>
  </si>
  <si>
    <t>Pesca</t>
  </si>
  <si>
    <t>Domingos Manuel</t>
  </si>
  <si>
    <t>domingosmisasse@gmail.com</t>
  </si>
  <si>
    <t>União Europeia</t>
  </si>
  <si>
    <t>Agricultura, Saúde e Saneamento</t>
  </si>
  <si>
    <t>Alfredo Nuvunga/ Daise Mahota</t>
  </si>
  <si>
    <t>Infraestruturas Escolares e Agua e Saneamento</t>
  </si>
  <si>
    <t>Nhamatanda, Búzi e Dondo</t>
  </si>
  <si>
    <t xml:space="preserve">Silvia/ Avelino </t>
  </si>
  <si>
    <t>Beira -Ponta Gea</t>
  </si>
  <si>
    <t>Educação, Assistencia Social, Agua e Meio Ambiente e Obras</t>
  </si>
  <si>
    <t>Mariana</t>
  </si>
  <si>
    <t>Assistência social e Saúde</t>
  </si>
  <si>
    <t>Educação, Saúde ( Pessoal com Dificiencia)</t>
  </si>
  <si>
    <t>Beira - Inhamizua</t>
  </si>
  <si>
    <t>Moroega</t>
  </si>
  <si>
    <t>Assistência social, Educação, Saúde ( Crianças orfãs e Vulneraveis)</t>
  </si>
  <si>
    <t>Beira e Dondo</t>
  </si>
  <si>
    <t>Severino F. Morande/ Baptista Boa</t>
  </si>
  <si>
    <t>Cooperação Italiana</t>
  </si>
  <si>
    <t>Educação, Assistencia social e Saúde</t>
  </si>
  <si>
    <t>841139256/ 872750192</t>
  </si>
  <si>
    <t>GIZ</t>
  </si>
  <si>
    <t>Beira- Manga</t>
  </si>
  <si>
    <t>EUA/ Reino Unido</t>
  </si>
  <si>
    <t>Educação, Segurança alimentar e meios de vida</t>
  </si>
  <si>
    <t>Nhamatanda, Gorongosa, Caia e Búzi</t>
  </si>
  <si>
    <t>Nhamatanda, Muanza, Gorongosa, Búzi, Beira, Dondo e Chibabava</t>
  </si>
  <si>
    <t>Beira -Manga</t>
  </si>
  <si>
    <t>Educação, construção resiliente em resposta ao ciclone Idai</t>
  </si>
  <si>
    <t>Garantir a formação profissional, bolsas de estudo para jovens vulneráveis dos 15 aos 29 anos afectados pelo Ciclone Idai.</t>
  </si>
  <si>
    <t>Embaixada da Holanda, União Europeia, Irlanda, Cruz Vermelha, NUFFIC</t>
  </si>
  <si>
    <t>Agencia italiana de cooperação e desnvolvimento</t>
  </si>
  <si>
    <t>Educação, Assistencia social, Água e saneamento, Infraestruturas, Agricultura, Apicultura e Aquacultura</t>
  </si>
  <si>
    <t>USAID, Suécia</t>
  </si>
  <si>
    <t>Nhamatanda, Dondo e Búzi</t>
  </si>
  <si>
    <t>Nhamatanda, Búzi e Beira</t>
  </si>
  <si>
    <t>Água e saneamento, Agricultura, Saúde, Humanitária/ Emergência</t>
  </si>
  <si>
    <t>Governo Británico, Governo Canadiano</t>
  </si>
  <si>
    <t>Influenciar as comunidades na tomada de decisoes que afectem suas vidas, resposta humanitária</t>
  </si>
  <si>
    <t>Nhamatnda</t>
  </si>
  <si>
    <t>E.U.A</t>
  </si>
  <si>
    <t>Emponderamento Económico e Inclusão Social</t>
  </si>
  <si>
    <t>UE/ ADA  / UNCDF</t>
  </si>
  <si>
    <t>Agricultura/ Pecuária</t>
  </si>
  <si>
    <t>Nhamatanda,Chemba e Chibabava</t>
  </si>
  <si>
    <t>Osvaldo Ricardo Vecorneta/ Caemen Jacinto Fernando</t>
  </si>
  <si>
    <t>877236863/ 868628305</t>
  </si>
  <si>
    <t>Alema</t>
  </si>
  <si>
    <t>Distribuição de Insumos agricolas</t>
  </si>
  <si>
    <t>Cooperação Austrica</t>
  </si>
  <si>
    <t>Extensão Agrária</t>
  </si>
  <si>
    <t>Maríngue, Gorongosa, Chibabava</t>
  </si>
  <si>
    <t>Geerson Tibissa</t>
  </si>
  <si>
    <t>861852896/847363541</t>
  </si>
  <si>
    <t>Educação e formação sindical, construção de infraestruturas, reforço a capacidade institucional, eqiudade do genero e combate a malária e HIV-SIDA.Construção de fontes de agua</t>
  </si>
  <si>
    <t>Educação Comunitária, Agua e SaneamentoAgricultura, Infraestruturas, Apoio institucional e governação</t>
  </si>
  <si>
    <t>Apoio ao Governo (Orgãos locais do Estado), Educação APOIO pedagógico e financeira</t>
  </si>
  <si>
    <t>Educação inclusiva, Prevenção a cegueira, melhoria de serviços na oftalmologia, formação profissional a pessoas com deficiencia e apoio tecnico</t>
  </si>
  <si>
    <t>Nhamatanda, Gorongosa, Búzi, Beira, Dondo, Chibabava</t>
  </si>
  <si>
    <t>Canadá e America</t>
  </si>
  <si>
    <t>MONNONITE CENTRAL COMMITTEE</t>
  </si>
  <si>
    <t>Melhorar as condições de vida das populações desfavorecidas; Mobilizar as comunidades a produzirem e conservarem alimentos; Aumentar o numero de familias e escolinhas com acesso a latrinas melhoradas, entre outros. Fomação Vocacionada</t>
  </si>
  <si>
    <t xml:space="preserve">  </t>
  </si>
  <si>
    <t>Unitaid</t>
  </si>
  <si>
    <t>Beira, Búzi, Caia, Chemba, Cheringoma, Dondo, Chibabava</t>
  </si>
  <si>
    <t>Lourdes Jocias, Neufeldos Egas Chume</t>
  </si>
  <si>
    <t>nataliafilimone@gmail.com</t>
  </si>
  <si>
    <t>Beira- Palmeiras 2</t>
  </si>
  <si>
    <t>Food for the Hungry Association</t>
  </si>
  <si>
    <t>Búzi, Caia, Cjemba, Cheringoma, Chibabava, Dondo, Gorongosa</t>
  </si>
  <si>
    <t>Global Fund</t>
  </si>
  <si>
    <t xml:space="preserve">Saúde, Água e Saneamento </t>
  </si>
  <si>
    <t>Aceleração e Fortalecimento da Qualidade das Intervenções do Controlo de Malária em Moçambique</t>
  </si>
  <si>
    <t>Saúde, Meio ambiente, Acção social e Educação, Gestão de Desastres</t>
  </si>
  <si>
    <t>Dinamarca- EUA, Suécia</t>
  </si>
  <si>
    <t>Nhamatanda, Machanga, Beira, Dondo, Caia, Búzi</t>
  </si>
  <si>
    <t>Mnica/ Gondola</t>
  </si>
  <si>
    <t>Educação, Agua ,Saneamenton e Higiene</t>
  </si>
  <si>
    <t>Agricultura, Saúde, Educação (Assistencia social), Assistência Humanitária</t>
  </si>
  <si>
    <t>EUA, USA</t>
  </si>
  <si>
    <t>Beira e Chimoio</t>
  </si>
  <si>
    <t>Agricultura, Energia, Agua e Saneamento</t>
  </si>
  <si>
    <t>Jose Isaias, Savador de Castro</t>
  </si>
  <si>
    <t>844828744/ 872480040</t>
  </si>
  <si>
    <t>Beira, Vila de Caia</t>
  </si>
  <si>
    <t>Mercia Dias, Amaral Chibeba</t>
  </si>
  <si>
    <t>868828239/ 847347193</t>
  </si>
  <si>
    <t>EUA, Nigeria</t>
  </si>
  <si>
    <t>Canada</t>
  </si>
  <si>
    <t>Manuel Jorge Joaquim</t>
  </si>
  <si>
    <t>Extensão Rural</t>
  </si>
  <si>
    <t>Sinon Maralane, Roubate , Lurdes</t>
  </si>
  <si>
    <t>Agricultura, Educação, Saúde, Agua e saneamento</t>
  </si>
  <si>
    <t>Saúde, Educação</t>
  </si>
  <si>
    <t>Noemia Fero</t>
  </si>
  <si>
    <t>Palmeiras 1 - Beira</t>
  </si>
  <si>
    <t>Beira, Dondo, Nhamatanda, Búzi e Cheringoma</t>
  </si>
  <si>
    <t>Saúde Materna Neonatal</t>
  </si>
  <si>
    <t>Assistencia social, Educação</t>
  </si>
  <si>
    <t>Fatima, Lúcia Chande</t>
  </si>
  <si>
    <t>842024020/ 848299946</t>
  </si>
  <si>
    <t>Melhorar os comportamentos de Nutrição, planeamento Familiar, Saúde Materno Neonatal e Infantil, Malária e HIV entre os beneficiários prioritários na Provincia de Sofal.</t>
  </si>
  <si>
    <t>842909948/876681469</t>
  </si>
  <si>
    <t>jchabuca@pircom.org.mz/ josman@pircom.org.mz</t>
  </si>
  <si>
    <t>Chimoio</t>
  </si>
  <si>
    <t>Nhamatanda, Caia, Búzi</t>
  </si>
  <si>
    <t>Itália, America</t>
  </si>
  <si>
    <t>CUAM- medicos com Africa</t>
  </si>
  <si>
    <t>itália</t>
  </si>
  <si>
    <t>824358257/829001730</t>
  </si>
  <si>
    <t>Formação , apoio técnico, supervisão e construção de infraestruturas</t>
  </si>
  <si>
    <t>Saúde e Assistencia social</t>
  </si>
  <si>
    <t>Beira - Manga</t>
  </si>
  <si>
    <t>Inglaterra</t>
  </si>
  <si>
    <t>Formação, Apoio técnico, suprevisão, infraestruturas</t>
  </si>
  <si>
    <t>Saúde, Obras Pública</t>
  </si>
  <si>
    <t>Acção Social, Saúde</t>
  </si>
  <si>
    <t xml:space="preserve">Beira </t>
  </si>
  <si>
    <t>Mennonite Central Committee- MCC</t>
  </si>
  <si>
    <t>Agricultura, Água e Religião Assistencia social, Ambiente e Educação</t>
  </si>
  <si>
    <t>823826840/ 823053265</t>
  </si>
  <si>
    <t>ADA/ Governo Austria</t>
  </si>
  <si>
    <t>Suiça, Holanda</t>
  </si>
  <si>
    <t>Agricultura, Educação, Água e saneamento, Assistência Social</t>
  </si>
  <si>
    <t>Beira,Búzi, Chibabava, Gorongosa e Chemba</t>
  </si>
  <si>
    <t>Beira, Dondo, Búzi</t>
  </si>
  <si>
    <t>Machanga, Búzi, Beira, Dondo, Chibabava, Cheringoma, Chema</t>
  </si>
  <si>
    <t>Todos Distritos</t>
  </si>
  <si>
    <t>Assistência social, Agricultura, Água Saneamento Educação.</t>
  </si>
  <si>
    <t>Rick Overmars</t>
  </si>
  <si>
    <t>827474818/21486790/1</t>
  </si>
  <si>
    <t>Água e Saneamento</t>
  </si>
  <si>
    <t>Agricultura, Gestão de Terra</t>
  </si>
  <si>
    <t>845885567/ 825977690</t>
  </si>
  <si>
    <t>Beira - Maputo</t>
  </si>
  <si>
    <t>JSI-John Research Training Institute Inc</t>
  </si>
  <si>
    <t>Betuel Sigaúque</t>
  </si>
  <si>
    <t>258 21086396</t>
  </si>
  <si>
    <t>USAID, Gavi the Vacina Aliance</t>
  </si>
  <si>
    <t>Manica, Sofala, Tete, Zambézia e Nampula</t>
  </si>
  <si>
    <t>Educação, Assistencia social e agricultura</t>
  </si>
  <si>
    <t>Beira, Marromeu, Nampula, Murrupula</t>
  </si>
  <si>
    <t>825894598/ 844785568</t>
  </si>
  <si>
    <t>Sheila Karina Ismael Loanat</t>
  </si>
  <si>
    <t>sheila.loonat@givedirectlyorg</t>
  </si>
  <si>
    <t>Assistência Social, Saúde, Educação, Agricultura,  Agua e saneamento</t>
  </si>
  <si>
    <t>Alfabetização e educação de Adultos, sensibilização na prevenção de HIV/SIDA</t>
  </si>
  <si>
    <t>Dondo- Mandruzi</t>
  </si>
  <si>
    <t>Beira/ Dondo Mandruzi</t>
  </si>
  <si>
    <t>Singapura/ tai wan/ China</t>
  </si>
  <si>
    <t>China/ EUA</t>
  </si>
  <si>
    <t>Tai Wan/ lee Mei-Ying</t>
  </si>
  <si>
    <r>
      <t xml:space="preserve">Gender Links  </t>
    </r>
    <r>
      <rPr>
        <b/>
        <i/>
        <sz val="11"/>
        <rFont val="Arial Narrow"/>
        <family val="2"/>
      </rPr>
      <t xml:space="preserve"> (Novo)</t>
    </r>
  </si>
  <si>
    <r>
      <t>International NGO Safety Organization</t>
    </r>
    <r>
      <rPr>
        <b/>
        <i/>
        <sz val="11"/>
        <rFont val="Arial Narrow"/>
        <family val="2"/>
      </rPr>
      <t xml:space="preserve"> (Novo)</t>
    </r>
  </si>
  <si>
    <r>
      <t xml:space="preserve">Young Life AME </t>
    </r>
    <r>
      <rPr>
        <b/>
        <i/>
        <sz val="11"/>
        <rFont val="Arial Narrow"/>
        <family val="2"/>
      </rPr>
      <t>(Novo)</t>
    </r>
  </si>
  <si>
    <t>Maio de 2023</t>
  </si>
  <si>
    <r>
      <t>Alliance for Green Revolution - AGRA</t>
    </r>
    <r>
      <rPr>
        <b/>
        <i/>
        <sz val="11"/>
        <rFont val="Arial Narrow"/>
        <family val="2"/>
      </rPr>
      <t xml:space="preserve"> (Novo)</t>
    </r>
  </si>
  <si>
    <r>
      <t xml:space="preserve">Associação portuguesa de apoio a África - </t>
    </r>
    <r>
      <rPr>
        <b/>
        <sz val="11"/>
        <rFont val="Arial Narrow"/>
        <family val="2"/>
      </rPr>
      <t>APOIAR</t>
    </r>
  </si>
  <si>
    <t>PESTALOZZI Childrens Fundation</t>
  </si>
  <si>
    <t>Melhorar o acesso a educaca inclusiva, equitativa e de qualidade para as raparigas vulneraveis em zonas urbanas, semo-urbanas e rurais afectadas pela pobreza, catastrofes naturais, analfabetismo e barreiras linguisticas</t>
  </si>
  <si>
    <t>Chemba, Maringue, Machanga, Chibabava, Gorongosa, Cheringoma</t>
  </si>
  <si>
    <t>Israel</t>
  </si>
  <si>
    <t>Apoiar as pessoas afectadas por crises humanitarias, atraves de parcerias com comunidades e instituicoes governamentais com vista a providenciar ajuda urgente.</t>
  </si>
  <si>
    <t>Educacao, Assistencia social, Saude</t>
  </si>
  <si>
    <t>For Afrika (antigo JAM)</t>
  </si>
  <si>
    <t>PIRCOM</t>
  </si>
  <si>
    <t>FOPROSA- Fórum Provincial das ONGs de Sofala</t>
  </si>
  <si>
    <t xml:space="preserve">Rua de Aruângua N° 32;
Praça Municipal da Beira;
1° Andar  do edifício em frente a Porta do lado esquerdo do Mercado
Central da Beira;
</t>
  </si>
  <si>
    <t>Àrea Temática de Actuação</t>
  </si>
  <si>
    <t xml:space="preserve">Rui Castelo Semente/
 Manuel Vieira Gumançanze
</t>
  </si>
  <si>
    <t>872017405 /842017405/ 868630156/ 875928465</t>
  </si>
  <si>
    <t>foprosa.forum@gmail.com / rui.semente@yahoo.com.br</t>
  </si>
  <si>
    <t>AJULSID- Associação da Juventude de Luta Contra Sida e Droga</t>
  </si>
  <si>
    <t xml:space="preserve">Rua Comandante Correia da Silva, casa nº 99, R/C </t>
  </si>
  <si>
    <t xml:space="preserve">84/ 87 5928465; 82 5696720  </t>
  </si>
  <si>
    <t>Amadeu M. Haje</t>
  </si>
  <si>
    <t>Ajulsid2007@yahoo.com.br</t>
  </si>
  <si>
    <t xml:space="preserve">Mudanças Climáticas, Desastres Naturais, HIV/Sida, Saúde
</t>
  </si>
  <si>
    <t xml:space="preserve">Dondo, Nhamatanda, Buzi, Gorongosa, Marínguè, Caia, Chemba, Marromeu, Cheringoma, Jovens e Adolescentes, Crianças Orfas/Vulneráveis, Idoso, Combatentes, Micro-Crédito
</t>
  </si>
  <si>
    <t>AAC- Associação de Ajuda Cristã</t>
  </si>
  <si>
    <t xml:space="preserve">Desastres Naturais, HIV/Sida, Saúde,Educação, Ajuda Humanitária, Jovens, Crianças Orfas/Vulneráveis, Idoso, Micro-Crédito
</t>
  </si>
  <si>
    <t xml:space="preserve">Beira, Dondo, Caia, Cheringoma, Gorongosa, 
Marínguè, Marromeu
</t>
  </si>
  <si>
    <t>InocêncioMelo</t>
  </si>
  <si>
    <t>848904881 /825612430</t>
  </si>
  <si>
    <t>inocenciomelo@hotmail.com</t>
  </si>
  <si>
    <t>ORAM- Associação Rural de Ajuda Mútua</t>
  </si>
  <si>
    <t>Bairro Macuti, Rura Centro Comercial n°1124, 1° Andar, Flat 2/2405, Cidade da Beira</t>
  </si>
  <si>
    <t xml:space="preserve">Direitos da Mulher, Desenvolvimento Rural, Meio Ambiente, HIV/SIDA. 
Desenvolvimento Económico
Microcréditos, Mediação de Conflitos
</t>
  </si>
  <si>
    <t xml:space="preserve">Beira, Dondo,
Nhamatanda, Buzi, Machanga, Chibabava, Gorongosa, Maringue, Caia,
Cheringoma </t>
  </si>
  <si>
    <t>Jacob Jenhuro</t>
  </si>
  <si>
    <t>oramsofala@gmail.com</t>
  </si>
  <si>
    <t>ADEL - Agencia de Desenvolvimento Economico Local - Sofala</t>
  </si>
  <si>
    <t>Rua Pero de Covilha nº 1005 – Matacuane, Beira</t>
  </si>
  <si>
    <t xml:space="preserve">Boa Governação Desenvolvimento Rural, Meio Ambiente, HIV/SIDA, Educação, Desenvolvimento Económico, Microcréditos
</t>
  </si>
  <si>
    <t>Hamid Taybo</t>
  </si>
  <si>
    <t>843812590 /873812590</t>
  </si>
  <si>
    <t>hamid1tayobo1@gmail.com</t>
  </si>
  <si>
    <t>Beira, Dondo, Nhamatanda, Buzi, Chibabava, Gorongosa, Maringue, Chemba, Caia,
Marromeu, heringoma, Muanza</t>
  </si>
  <si>
    <t>KULIMA</t>
  </si>
  <si>
    <t>Rua Companhia de Moçambique Nº44 – Baixa – Cidade da Beira</t>
  </si>
  <si>
    <t>Marylene S.K.Madeleine Mart</t>
  </si>
  <si>
    <t>840646088 /848905231</t>
  </si>
  <si>
    <t>kulimasofala@gmail.com</t>
  </si>
  <si>
    <t>LUZ NA COMUNIDADE</t>
  </si>
  <si>
    <t>9° Bairro, Rua Cruz Gomes, S/n, Munhava</t>
  </si>
  <si>
    <t xml:space="preserve">HIV/SIDA
Crianças Orfas/Vulneráveis
</t>
  </si>
  <si>
    <t>Beira, Dondo. Nhamatanda, Gorongosa</t>
  </si>
  <si>
    <t>Albino alverinho Quemba</t>
  </si>
  <si>
    <t>846343524 /827225497</t>
  </si>
  <si>
    <t xml:space="preserve">Parlamento Juvenil </t>
  </si>
  <si>
    <t>Av alfred lawley</t>
  </si>
  <si>
    <t xml:space="preserve">Democracia e governação </t>
  </si>
  <si>
    <t xml:space="preserve">luznacomunidade@yahoo.com.br,
Albinoquembo@yahoo.com.br
</t>
  </si>
  <si>
    <t xml:space="preserve">Ao nível Provincial </t>
  </si>
  <si>
    <t>Jossiassixpence55@gmail.com</t>
  </si>
  <si>
    <t>Associação dos Estudantes Graduados da Universidade Aberta ISCED (ALUMNI)</t>
  </si>
  <si>
    <t>Sita na Rua Carlos Pereira, parcela nº147/8, Estoril Expansão, Cidade da Beira, Província de Sofala, Moçambique</t>
  </si>
  <si>
    <t>Academia</t>
  </si>
  <si>
    <t xml:space="preserve">Lucas Mainato João </t>
  </si>
  <si>
    <t xml:space="preserve">Lucasmainatojaoa@gmail.com </t>
  </si>
  <si>
    <t>ADEL-SOFALA, Agência de Desenvolvimento Economico Local de Sofala</t>
  </si>
  <si>
    <t xml:space="preserve">Rua Pero de Covilhã, N° 1005, Matacuane, Beira. </t>
  </si>
  <si>
    <t xml:space="preserve">Agricultura e Seguranca alimentar; -Recursos Naturais e Desenvolvimento Sustentável, Microfinancas </t>
  </si>
  <si>
    <t xml:space="preserve">Beira, Dondo, Nhamatanda, Buzi, Chibabava, Maringue, Muanza, Gorongosa, Cheringoma, Marromeu </t>
  </si>
  <si>
    <t>843812590/873812590/823812590</t>
  </si>
  <si>
    <t xml:space="preserve">hamudtaybo@hotmail.com 
adelsofala1999@gmail.com; beira@adelsofala.org.mz 
</t>
  </si>
  <si>
    <t>Ecosida-Saude</t>
  </si>
  <si>
    <t>ACB- Baixa Praça do Município, 3º Andar</t>
  </si>
  <si>
    <t>852287924/878020151</t>
  </si>
  <si>
    <t>filimajo20@gmail.com</t>
  </si>
  <si>
    <t xml:space="preserve">  Saúde, HIV e SIDA</t>
  </si>
  <si>
    <t>Filipe Jorge</t>
  </si>
  <si>
    <t>Kenguelekeze-Ecosida</t>
  </si>
  <si>
    <t>AJUPCE-Associação Juvenil de Prevenção e Combate as Epidemias</t>
  </si>
  <si>
    <t xml:space="preserve">Pavilhão dos desportos da Beira </t>
  </si>
  <si>
    <t xml:space="preserve">Saúde, saneamento, água, SSR, drogas, HIV, direitos Humanos, deficiências, COVS, nutrição, </t>
  </si>
  <si>
    <t xml:space="preserve">Provincial </t>
  </si>
  <si>
    <t xml:space="preserve">Arlindo Mentira Cope </t>
  </si>
  <si>
    <t>844898210/869360755</t>
  </si>
  <si>
    <t>ajupce@yahoo.com.br</t>
  </si>
  <si>
    <t>Combate as Epidemias</t>
  </si>
  <si>
    <t>AV. Eduardo Mondlane Nº 1292</t>
  </si>
  <si>
    <t>meio ambiente, idoso, famílias vulneráveis, apoio psico social e educação inclusiva.</t>
  </si>
  <si>
    <t xml:space="preserve">Estrada Nacional nº06, a beira da estrada, Vaz, perto da Fábrica OLAM </t>
  </si>
  <si>
    <t>Seguranca Rodoviaria</t>
  </si>
  <si>
    <t xml:space="preserve">Nas estradas e ruas com mobilidade elevada;
Nas escolas primárias, a beira da estrada;
Nas comunidades; 
Nos terminais rodoviários (urbanos e provinciais);  
</t>
  </si>
  <si>
    <t>Lucas Mainato João – Delegado Provincial</t>
  </si>
  <si>
    <t>824329259 / 843630642 / 876901341</t>
  </si>
  <si>
    <t xml:space="preserve">amvirodelegacaosofala@gmail.com 
lucasmainatojoao@gmail.com 
</t>
  </si>
  <si>
    <t xml:space="preserve">Acodemo2021@gmail.com
lucasmainatojoao@gmail.com
</t>
  </si>
  <si>
    <t>Associação Comunitária para o Desenvolvimento de Moçambique - ACODEMO</t>
  </si>
  <si>
    <t>Provincail</t>
  </si>
  <si>
    <t>Pavilhão dos desportos da Beira AV. Eduardo Mondlane Nº 1292</t>
  </si>
  <si>
    <t>Saneamento do meio, iniciativa comunitaria, saude comunitaria</t>
  </si>
  <si>
    <t>Saúde, saneamento, água, SSR, drogas, HIV, direitos Humanos, deficiências, COVS, nutrição, meio ambiente, idoso, famílias vulneráveis, apoio psico social e educação inclusiva.</t>
  </si>
  <si>
    <t>AACO</t>
  </si>
  <si>
    <t>Antiga N6, 9º Bairro Munhava Central, UC-G, Q-3 R/C</t>
  </si>
  <si>
    <t>Educação e Saúde</t>
  </si>
  <si>
    <t>Francisco João Zuba</t>
  </si>
  <si>
    <t>84 22 67 800</t>
  </si>
  <si>
    <t>Fjoaozuba87@gmail.com</t>
  </si>
  <si>
    <t>Associacao  Mbativerane</t>
  </si>
  <si>
    <t xml:space="preserve">saúde, fortalecimento Económico, Água e saneamento do meio, segurança alimentar  </t>
  </si>
  <si>
    <t>Nhamatanda, Buzi, Muanza, Chibabava, Gorongosa</t>
  </si>
  <si>
    <t xml:space="preserve">Av. Samora Machel, 9° Bairro da Munhavatcham-tchim, UC-"C", </t>
  </si>
  <si>
    <t>Saúde, Educação pré-escolar, Agua e Saneamento, Fortalecimento económico (grupo de Poupança), Desporto e cultura entre outros temas transversais</t>
  </si>
  <si>
    <t xml:space="preserve">Beiram Dondo, Buzi, Nhamatanda,  Marromeu </t>
  </si>
  <si>
    <t>Moisés Domingos Sande</t>
  </si>
  <si>
    <t xml:space="preserve">anandjira2006@gmail.com
moisesmatipe@gmail.com
</t>
  </si>
  <si>
    <t>826345464/847539000</t>
  </si>
  <si>
    <t>Província de Sofala- Cidade da Beira</t>
  </si>
  <si>
    <t>Direitos de Acesso a Terra e Recursos Naturais; Género e Proteção Social; Desenvolvimento Institucional</t>
  </si>
  <si>
    <t>Ângela Jorge</t>
  </si>
  <si>
    <t>844063827/873646978</t>
  </si>
  <si>
    <t>Angela.jorge4@gmail.com</t>
  </si>
  <si>
    <t>BEIRA</t>
  </si>
  <si>
    <t>Saúde, Saneamento, Educaçao e  Governaçao</t>
  </si>
  <si>
    <t>Domingos Tembe</t>
  </si>
  <si>
    <t>ass.ajucre@gmail.com</t>
  </si>
  <si>
    <t xml:space="preserve">844886043
874886044
848189149
</t>
  </si>
  <si>
    <t xml:space="preserve">Centro de Desenvolvimento Comunitário da Mananga-Munhava
Rua Kruss Gomes, Impasse 652-porta 4
</t>
  </si>
  <si>
    <t xml:space="preserve">Monitoria da Gestão de Finanças Publicas
Gestão de BIOSP, Governação Descentralizada, Formação profissional e emprego, Emergência: Construção e reabilitação de habitações 
</t>
  </si>
  <si>
    <t>Feliciano Matique</t>
  </si>
  <si>
    <t>+258 843597847</t>
  </si>
  <si>
    <t>amacobeira@ymail.com</t>
  </si>
  <si>
    <t>Associação ComuSanas</t>
  </si>
  <si>
    <t xml:space="preserve">Saúde e Direitos Humanos.
Educação e Desenvolvimento Humano
VBG e Dificiência.
Fortalecimento Económico
</t>
  </si>
  <si>
    <t xml:space="preserve">846328013
825838511
</t>
  </si>
  <si>
    <t xml:space="preserve">Maria de Ludes Mboana
Virgilio Mubai
</t>
  </si>
  <si>
    <t xml:space="preserve">m.mboana@comusanas.org.mz
virgilio.mubai@comusanas.org.mz
</t>
  </si>
  <si>
    <t xml:space="preserve"> Cidade da Beira
Rua Mártires da Revolução n° 2255, Macuti </t>
  </si>
  <si>
    <t>Cidade da Beira</t>
  </si>
  <si>
    <t>Sofala, Beira, Dondo, Nhamatanda, Gorongosa, Buzi e Provincia de Manica na cidade de Chimoio.</t>
  </si>
  <si>
    <t>Rua da Condestável 1783, no 8º Bairro de Macurungo, Cidade da Beira, Província de Sofala</t>
  </si>
  <si>
    <t>Educa¬ção &amp; Protecção Social</t>
  </si>
  <si>
    <t xml:space="preserve">61144222
&amp;
852325675 
</t>
  </si>
  <si>
    <t xml:space="preserve">asembeira.dir@gmail.com 
&amp; asem.mozambique@gmail.com 
</t>
  </si>
  <si>
    <t>KUGARISSICA_Associação Juvenil Para Desenvolvimento Comunitário</t>
  </si>
  <si>
    <t xml:space="preserve">Cidade da Beira </t>
  </si>
  <si>
    <t xml:space="preserve">Direitos das Crianças, Saúde, Educação, fortalecimento Economico, Protecção Legal e Advocacia </t>
  </si>
  <si>
    <t xml:space="preserve">Beira, Dondo, Nhamatanda, Caia, Marromeu e Cheringoma </t>
  </si>
  <si>
    <t xml:space="preserve">Filipe Tomas Boca </t>
  </si>
  <si>
    <t>filipeboca@soproc.org.mz ou soprocsofala@yahoo.com.br</t>
  </si>
  <si>
    <t>822355620/848723037</t>
  </si>
  <si>
    <t xml:space="preserve">Boa Governação,  Àgua e Saneamento, HIV/Sida, Saúde, Educação, Portadores de Deficiência, Direitos Humanos, Democracia,  Desenvolvimento Rural, Meio Ambiente, Mudanças Climáticas, Desastres Naturais, Àgua e Saneamento, HIV/Sida, Saúde, Educação,  Portadores de Deficiência, Combate ao Uso de Drogas, Desenvolvimento Económico, Cultura/Arte, Mediação de Conflitos, Ajuda Humanitária, Jovens e adolescentes, Crianças Orfas/Vulneráveis, Idoso, Combatentes, Micro-Crédito
</t>
  </si>
  <si>
    <t>N.º Ord</t>
  </si>
  <si>
    <t xml:space="preserve">Direitos humanos, Direitos da Mulher, Boa Governação, Democracia, Desenvolvimento Rural, Meio Ambiente, Àgua e Saneamento, HIV/SIDA, Saúde, Educação Desenvolvimento Económico, Microcréditos, Mediação de Conflitos, Ajuda Humanitária, Jovens, Crianças orfãs/Vulneráveis
</t>
  </si>
  <si>
    <t xml:space="preserve">Beira, Dondo, Nhamatanda, Buzi, Machanga, Chibabava, Gorongosa,  Maringue, Chemba, Caia, Marromeu, Cheringoma, Muanza
</t>
  </si>
  <si>
    <t xml:space="preserve">Lobby e Advocacia; Promoção de acesso a justiça; Promoção da Justiça de Género;Fortalecimento da democracia inclusiva e participativa; Educação para Cidadania; Monitoria das Políticas Públicas;
Desenvolvimento de temáticas das mudanças climáticas;  Apoio Institucional.
</t>
  </si>
  <si>
    <t xml:space="preserve">Zacarias José Ferro &amp; Barbara Hofmann 
</t>
  </si>
  <si>
    <t>RELAÇÃO NOMINAL DE ONG's (ASSOCIACOES) NACIONAIS QUE OPERAM NA PROVÍNCIA</t>
  </si>
  <si>
    <t>Estrada Nacional nº 06, Matadouro, atrás da escola secundária de Matadouro, 1º andar.</t>
  </si>
  <si>
    <t>Lucas Mainato João – Presidente da Mesa da Assembleia Geral</t>
  </si>
  <si>
    <r>
      <t xml:space="preserve">Associação Moçambicana para as Vitimas de Insegurança Rodoviária – </t>
    </r>
    <r>
      <rPr>
        <b/>
        <sz val="11"/>
        <color theme="1"/>
        <rFont val="Arial"/>
        <family val="2"/>
      </rPr>
      <t>AMVIRO</t>
    </r>
  </si>
  <si>
    <r>
      <t>AJUPCE-</t>
    </r>
    <r>
      <rPr>
        <b/>
        <sz val="11"/>
        <color theme="1"/>
        <rFont val="Arial"/>
        <family val="2"/>
      </rPr>
      <t>Associação Juvenil de Prevenção e Combate as Epidemias</t>
    </r>
  </si>
  <si>
    <r>
      <t xml:space="preserve">Associação Juvenil para o Desenvolvimento Comunitário </t>
    </r>
    <r>
      <rPr>
        <b/>
        <sz val="12"/>
        <color theme="1"/>
        <rFont val="Arial"/>
        <family val="2"/>
      </rPr>
      <t>ANANDJIA</t>
    </r>
  </si>
  <si>
    <r>
      <t>AMPDC</t>
    </r>
    <r>
      <rPr>
        <sz val="11"/>
        <color theme="1"/>
        <rFont val="Arial"/>
        <family val="2"/>
      </rPr>
      <t xml:space="preserve"> – Associação de Mulheres para Promoção do Desenvolvimento Comunitário</t>
    </r>
  </si>
  <si>
    <r>
      <t>AMACO</t>
    </r>
    <r>
      <rPr>
        <sz val="11"/>
        <color theme="1"/>
        <rFont val="Arial"/>
        <family val="2"/>
      </rPr>
      <t xml:space="preserve"> </t>
    </r>
    <r>
      <rPr>
        <sz val="12"/>
        <color theme="1"/>
        <rFont val="Arial"/>
        <family val="2"/>
      </rPr>
      <t>- Associação Moçambicana De Apoio À Comunidade</t>
    </r>
  </si>
  <si>
    <r>
      <rPr>
        <b/>
        <sz val="11"/>
        <color theme="1"/>
        <rFont val="Arial"/>
        <family val="2"/>
      </rPr>
      <t>AJUCRE</t>
    </r>
    <r>
      <rPr>
        <sz val="11"/>
        <color theme="1"/>
        <rFont val="Arial"/>
        <family val="2"/>
      </rPr>
      <t>-Associação Juvenil Para o Combate e Redução das Doenças Endémicas</t>
    </r>
  </si>
  <si>
    <r>
      <rPr>
        <b/>
        <sz val="11"/>
        <rFont val="Arial"/>
        <family val="2"/>
      </rPr>
      <t>ASEM</t>
    </r>
    <r>
      <rPr>
        <sz val="11"/>
        <rFont val="Arial"/>
        <family val="2"/>
      </rPr>
      <t xml:space="preserve"> – Associação à Favor da Criança Moçambicana</t>
    </r>
  </si>
  <si>
    <r>
      <rPr>
        <b/>
        <sz val="11"/>
        <rFont val="Arial"/>
        <family val="2"/>
      </rPr>
      <t>PNDH</t>
    </r>
    <r>
      <rPr>
        <sz val="11"/>
        <rFont val="Arial"/>
        <family val="2"/>
      </rPr>
      <t xml:space="preserve"> - Pressao Nacional Dos Direitos Humanois</t>
    </r>
  </si>
  <si>
    <r>
      <t xml:space="preserve">Fundo de desenvolvimento Comunitário - </t>
    </r>
    <r>
      <rPr>
        <b/>
        <sz val="11"/>
        <rFont val="Arial"/>
        <family val="2"/>
      </rPr>
      <t>FDC</t>
    </r>
  </si>
  <si>
    <t>Bairro de Macurungo</t>
  </si>
  <si>
    <t>EUA/ União Europeia</t>
  </si>
  <si>
    <t>O Chefe da Repartição de Planificacao</t>
  </si>
  <si>
    <t>Bairro de Macutim Av. Centro comercail 1898</t>
  </si>
  <si>
    <t xml:space="preserve">Desenvolvimento, Educaçao, Proteccao social, Agricultura </t>
  </si>
  <si>
    <t>Anderia Nogueira</t>
  </si>
  <si>
    <t>essor.moz@gmail.com</t>
  </si>
  <si>
    <t>30/10/1997</t>
  </si>
  <si>
    <t>Associacao de Tutores e Amigos da Crianaca Africana - ATACA</t>
  </si>
  <si>
    <t>Portugal</t>
  </si>
  <si>
    <t>Melhorar  oportuniddes da educacao e Assistenia social</t>
  </si>
  <si>
    <t>Educação e A. Social</t>
  </si>
  <si>
    <t>Chemba e Caia</t>
  </si>
  <si>
    <t>Suzana Simao</t>
  </si>
  <si>
    <t>863512291/852390568</t>
  </si>
  <si>
    <t>ataca.moz@gmail.com</t>
  </si>
  <si>
    <t>Japao</t>
  </si>
  <si>
    <t>Av.  Francisco Matange - Macuti, Conominio Abbas</t>
  </si>
  <si>
    <t>Nao Iwano</t>
  </si>
  <si>
    <t>84/867709034/</t>
  </si>
  <si>
    <t>mozambique.@peace-winds.org</t>
  </si>
  <si>
    <t>862458695/879558300</t>
  </si>
  <si>
    <t>849190106/847136061/21081433</t>
  </si>
  <si>
    <t>ONG QUE MANDAM RELATORIOS</t>
  </si>
  <si>
    <t>A. Social, Agricultura,</t>
  </si>
  <si>
    <t>Promoção de empreendedorismo  no sector privado e ligação de mercado, Apoiar os programas de desenvolvimento, fortalecer a capacidade social; Promover uma melhoria sustentável de segurança alimentar dos pequenos produtores, entre outros.</t>
  </si>
  <si>
    <t>843984497 / 843984512/82090635</t>
  </si>
  <si>
    <t>Marco de 2024</t>
  </si>
  <si>
    <t>N°. Ord</t>
  </si>
  <si>
    <t>Nome da ONG</t>
  </si>
  <si>
    <t>Área de actuação</t>
  </si>
  <si>
    <t>Assistência Social e Religião</t>
  </si>
  <si>
    <t>Assistência Social</t>
  </si>
  <si>
    <t>RTI - INTERNACIONAL</t>
  </si>
  <si>
    <t>Assistência Social, Educação e Agricultura</t>
  </si>
  <si>
    <t>Agua, Desastres Naturais, Boa Governação e Trabalho Sindical.</t>
  </si>
  <si>
    <t>Assistência Social e Educação</t>
  </si>
  <si>
    <t>Saúde. Agricultura e Agua</t>
  </si>
  <si>
    <t xml:space="preserve">ATACA-Associação de Tutores e Amigos da Criança Africana </t>
  </si>
  <si>
    <t>Educação, e Assistência Social</t>
  </si>
  <si>
    <t>NCBA CLUSA</t>
  </si>
  <si>
    <t>Genaro e Saúde</t>
  </si>
  <si>
    <t>Educação no distrito de Dondo</t>
  </si>
  <si>
    <t>Agricultura, Saúde e Assistência Social</t>
  </si>
  <si>
    <t>Saúde, Educação, Ambiente, Agricultura e Turismo</t>
  </si>
  <si>
    <t>Assistência Social, Saúde, Agricultura e Educação</t>
  </si>
  <si>
    <t>Assistência Social, Género, Saúde e Educação</t>
  </si>
  <si>
    <t>Agua. Agricultura, Género, Educação e Meio Ambiente</t>
  </si>
  <si>
    <t>Saúde, Educação e Género</t>
  </si>
  <si>
    <t>TEARFUND</t>
  </si>
  <si>
    <t>Educação, Saúde, Assistência Social e Género</t>
  </si>
  <si>
    <t>Assistência Social, Sector Informal e Micro-crédito</t>
  </si>
  <si>
    <t>PSI-population services international</t>
  </si>
  <si>
    <t>SILVEIRA HOUSE</t>
  </si>
  <si>
    <t>Agricultura, Agua, Género e Educação</t>
  </si>
  <si>
    <t>Educação, Assistência Social e Saúde</t>
  </si>
  <si>
    <t>Assistência Social, Género, Saúde e Respostas Humanitárias</t>
  </si>
  <si>
    <t>Educação, Género, Meio Ambiente, Assistência Social, Saúde e Micro-Crédito</t>
  </si>
  <si>
    <t>RARE-</t>
  </si>
  <si>
    <t>Meio Ambiente e Co-Gestão da Pesca Artesanal</t>
  </si>
  <si>
    <t>Educação e Assistência Social</t>
  </si>
  <si>
    <t>YOUNG LIFE AME</t>
  </si>
  <si>
    <t>Assistência Social, Educação e População</t>
  </si>
  <si>
    <t>Assistência Social no distrito do Búzi</t>
  </si>
  <si>
    <t>HORIZONT 3000</t>
  </si>
  <si>
    <t>Educação, Cultura e Assistência Social</t>
  </si>
  <si>
    <t>Agricultura, Educação, Saúde, Assistência Social e Género</t>
  </si>
  <si>
    <t>Educação, Cultura Assistência Social</t>
  </si>
  <si>
    <t>Vox United</t>
  </si>
  <si>
    <t>Clinton Health Access Initiative (CHAI)</t>
  </si>
  <si>
    <t>Envangelisches Werk Fur Diakonie Und Entwicklung - EWDE</t>
  </si>
  <si>
    <t>Street Child</t>
  </si>
  <si>
    <t>Pestalozzi Children’s Fundation</t>
  </si>
  <si>
    <t>Good Neighbors Moçambique</t>
  </si>
  <si>
    <t>PCI—Media Impact</t>
  </si>
  <si>
    <t>Fundação Futebol Da Força</t>
  </si>
  <si>
    <t>Hilfswerk Moçambique</t>
  </si>
  <si>
    <t>IFDC – International Peryilizer Devolopment Center</t>
  </si>
  <si>
    <t>Pathfinder International</t>
  </si>
  <si>
    <t>For Africa To Thrive</t>
  </si>
  <si>
    <t xml:space="preserve">Gorongosa Restoration Project </t>
  </si>
  <si>
    <t>VSO-Voluntary Service Overseas</t>
  </si>
  <si>
    <t>Education World Incorporated</t>
  </si>
  <si>
    <t>AGRA- Alliance For Green Revolution</t>
  </si>
  <si>
    <t>Medicos De Mundo Portugal</t>
  </si>
  <si>
    <t>Mennonitte Central Committee</t>
  </si>
  <si>
    <t>WWF – World Wide Fund For Nature</t>
  </si>
  <si>
    <t>Plan International Inc</t>
  </si>
  <si>
    <t>International Ngo Safety Organization</t>
  </si>
  <si>
    <t>Foundation Capital-F.K</t>
  </si>
  <si>
    <t>CNFA-Cultivating New Frontier In Agriculture</t>
  </si>
  <si>
    <t>EFF (ETG) Empowering Farmers Foundation</t>
  </si>
  <si>
    <t>REPSSI-Iniciativa Regional De Apoio Psicossocial</t>
  </si>
  <si>
    <t>AIFO - Associacao Italana Amici Di Raoul Follereau</t>
  </si>
  <si>
    <t>CAM- Consorcio Associação Com Moçambique</t>
  </si>
  <si>
    <t>Village Reach</t>
  </si>
  <si>
    <t>Aldeias De Criancas -SOS</t>
  </si>
  <si>
    <t>Gender Links</t>
  </si>
  <si>
    <t>CESVI- Cooperaçáo e Desenvolvimento</t>
  </si>
  <si>
    <t xml:space="preserve">Soul Frater, Associaçáo </t>
  </si>
  <si>
    <t>Fundação Fe E Cooperação -FEC</t>
  </si>
  <si>
    <t>Save The Children Internacional</t>
  </si>
  <si>
    <t>Fundação Kyeema</t>
  </si>
  <si>
    <t>CUAMM- Medicos Com Africa</t>
  </si>
  <si>
    <t>Federacao das Mulheres para a Paz Mundial</t>
  </si>
  <si>
    <t>JSI – Jhon Snow Inc &amp; Reserch Traing Institute Inc</t>
  </si>
  <si>
    <t>FH - Association (Food for hungry)</t>
  </si>
  <si>
    <t>Distrito que Operam</t>
  </si>
  <si>
    <t>Caia, Cheringoma e Marromeu</t>
  </si>
  <si>
    <t>CEFA</t>
  </si>
  <si>
    <t>Nhamatanda, Buzi, Chibabava</t>
  </si>
  <si>
    <t>Beira, Marromeu,</t>
  </si>
  <si>
    <t>Chibabava, Buzi, Machanga</t>
  </si>
  <si>
    <t xml:space="preserve">Saúde </t>
  </si>
  <si>
    <t>Chibabava, Buzi, Chemba</t>
  </si>
  <si>
    <t>Passagem de Nivel</t>
  </si>
  <si>
    <t>APOIAR - Associacao Portuguesa de Apoio a Africa</t>
  </si>
  <si>
    <t>Lucia Chande</t>
  </si>
  <si>
    <t>Francesca</t>
  </si>
  <si>
    <t>Eduardo Massinga</t>
  </si>
  <si>
    <t>Av. 25 Setembro - Maputo</t>
  </si>
  <si>
    <t>Betuel Sigauque</t>
  </si>
  <si>
    <t>escritorio.beira@horizont3000.org</t>
  </si>
  <si>
    <t>Av. Eduard Mondlane - Ponta-Gea, Beira</t>
  </si>
  <si>
    <t>Bairro Matacudur, Vila de Gorongosa</t>
  </si>
  <si>
    <t>866778000/861689783</t>
  </si>
  <si>
    <t>Akiko Azan</t>
  </si>
  <si>
    <t>EN n.º 6, Manga Beira</t>
  </si>
  <si>
    <t>Guilhermina Matiquite</t>
  </si>
  <si>
    <t>Rua General Viera da Rocha</t>
  </si>
  <si>
    <t>843099536/21421879</t>
  </si>
  <si>
    <t>Severino Gabriel Ngole</t>
  </si>
  <si>
    <t>233114006/21314006</t>
  </si>
  <si>
    <t>mmobaracaly@pathfinder.org</t>
  </si>
  <si>
    <t>Palmeiras 1</t>
  </si>
  <si>
    <t>Rua Centro Comercial n.167 664</t>
  </si>
  <si>
    <t>Horacio Burgado</t>
  </si>
  <si>
    <t>849101302/845300999</t>
  </si>
  <si>
    <t>CEFA-Comite Europeu Para Formaçáo e Agricultura</t>
  </si>
  <si>
    <t>Rua Renato Baptista n.º 700</t>
  </si>
  <si>
    <t>Patricia Naira Lourenco</t>
  </si>
  <si>
    <t>857923164/872767677</t>
  </si>
  <si>
    <t>cefamozambico@cefaonlus.it</t>
  </si>
  <si>
    <t>Rua Francisco Gorjao - Ponta-Gea</t>
  </si>
  <si>
    <t>863979250/820528018</t>
  </si>
  <si>
    <t>Celestino Benjamim Fombe</t>
  </si>
  <si>
    <t>Manga, EN6</t>
  </si>
  <si>
    <t>84/69190106</t>
  </si>
  <si>
    <t>Macuti</t>
  </si>
  <si>
    <t>Jan  Dieter Wiesenmuller</t>
  </si>
  <si>
    <t>Miguel Jambo</t>
  </si>
  <si>
    <t>DREAM - Comitate di Saint Egídio</t>
  </si>
  <si>
    <t>lmc@apoiar.org</t>
  </si>
  <si>
    <t>Jose Mucuapa</t>
  </si>
  <si>
    <t>Maputo, Av. Francisco  Magumbwe, Nr683, Polana Cimento</t>
  </si>
  <si>
    <t>Bairro de Macutim Av. Centro comercial 1898</t>
  </si>
  <si>
    <t>jmucuapa@dvv-international.org.mz</t>
  </si>
  <si>
    <t>Abril de 2024</t>
  </si>
  <si>
    <t>Associacao Humanitaria para o Desenvolvimento</t>
  </si>
  <si>
    <t>Nhamaiabue - Dondo</t>
  </si>
  <si>
    <t>Saude, Educacao e Meio Ambiente</t>
  </si>
  <si>
    <t>Paulo Teixeira Dengua</t>
  </si>
  <si>
    <t>843080880/873580880</t>
  </si>
  <si>
    <t>Beira, Muanza</t>
  </si>
  <si>
    <t>Promoção de boas maneiras alimentares para erradicacao de desnutricao cronica e apoio no pescado</t>
  </si>
  <si>
    <t>Saude,  Agricultura</t>
  </si>
  <si>
    <t>Beira, Machanga, Dondo, Nhamanda e Muanza</t>
  </si>
  <si>
    <t>Rafael</t>
  </si>
  <si>
    <t>843129487/876069880</t>
  </si>
  <si>
    <t>Right To Play</t>
  </si>
  <si>
    <t>Saúde e Educacao</t>
  </si>
  <si>
    <t xml:space="preserve">Beira, Nhamatanda, Caia, Marromeu, Machanga e Chibabava </t>
  </si>
  <si>
    <t xml:space="preserve">Rick  Janzen </t>
  </si>
  <si>
    <t>Rua 1 de Dezembro</t>
  </si>
  <si>
    <t xml:space="preserve">Assistência Social, Educação e Agricultura </t>
  </si>
  <si>
    <t xml:space="preserve">Agricultura Resiliente ao Clima, Agua e Saneamento </t>
  </si>
  <si>
    <t>Assistência Social, Agricultura, Educação e Agua</t>
  </si>
  <si>
    <t xml:space="preserve"> Gorongosa, Nhamatanda Búzi, Dondo, Muanza e Chibabava</t>
  </si>
  <si>
    <t>Saude, Educacao</t>
  </si>
  <si>
    <t>Technoserv Inc</t>
  </si>
  <si>
    <t>David</t>
  </si>
  <si>
    <t>Akashinga Inc</t>
  </si>
  <si>
    <t>Machanga e Chibabava</t>
  </si>
  <si>
    <r>
      <t>Assistência Social, Género, Saúde, Desporto e Educação a</t>
    </r>
    <r>
      <rPr>
        <b/>
        <sz val="10"/>
        <color theme="1"/>
        <rFont val="Times New Roman"/>
        <family val="1"/>
      </rPr>
      <t>)</t>
    </r>
  </si>
  <si>
    <r>
      <t>Educação a</t>
    </r>
    <r>
      <rPr>
        <b/>
        <sz val="10"/>
        <color theme="1"/>
        <rFont val="Times New Roman"/>
        <family val="1"/>
      </rPr>
      <t>)</t>
    </r>
  </si>
  <si>
    <t xml:space="preserve">Comunidade </t>
  </si>
  <si>
    <t>Africa do sul</t>
  </si>
  <si>
    <t xml:space="preserve">Quenia </t>
  </si>
  <si>
    <t xml:space="preserve">Meio Ambiente </t>
  </si>
  <si>
    <t xml:space="preserve">Austria </t>
  </si>
  <si>
    <t>NOROEGA</t>
  </si>
  <si>
    <t>Noroega</t>
  </si>
  <si>
    <t>Jorge Rafael Jorge</t>
  </si>
  <si>
    <t>Macuti-Rua Martires da Revolucao</t>
  </si>
  <si>
    <t>821053123/847675335</t>
  </si>
  <si>
    <r>
      <t>Funda</t>
    </r>
    <r>
      <rPr>
        <sz val="10"/>
        <color theme="1"/>
        <rFont val="Calibri"/>
        <family val="2"/>
      </rPr>
      <t>çã</t>
    </r>
    <r>
      <rPr>
        <sz val="10"/>
        <color theme="1"/>
        <rFont val="Times New Roman"/>
        <family val="1"/>
      </rPr>
      <t>o Mo</t>
    </r>
    <r>
      <rPr>
        <sz val="10"/>
        <color theme="1"/>
        <rFont val="Calibri"/>
        <family val="2"/>
      </rPr>
      <t>ç</t>
    </r>
    <r>
      <rPr>
        <sz val="10"/>
        <color theme="1"/>
        <rFont val="Times New Roman"/>
        <family val="1"/>
      </rPr>
      <t>ambique</t>
    </r>
  </si>
  <si>
    <r>
      <t>Mo</t>
    </r>
    <r>
      <rPr>
        <sz val="10"/>
        <color theme="1"/>
        <rFont val="Calibri"/>
        <family val="2"/>
      </rPr>
      <t>ç</t>
    </r>
    <r>
      <rPr>
        <sz val="10"/>
        <color theme="1"/>
        <rFont val="Times New Roman"/>
        <family val="1"/>
      </rPr>
      <t>ambique</t>
    </r>
  </si>
  <si>
    <r>
      <t>Paz e Democr</t>
    </r>
    <r>
      <rPr>
        <sz val="10"/>
        <color theme="1"/>
        <rFont val="Calibri"/>
        <family val="2"/>
      </rPr>
      <t>á</t>
    </r>
    <r>
      <rPr>
        <sz val="10"/>
        <color theme="1"/>
        <rFont val="Times New Roman"/>
        <family val="1"/>
      </rPr>
      <t>cia, Educa</t>
    </r>
    <r>
      <rPr>
        <sz val="10"/>
        <color theme="1"/>
        <rFont val="Calibri"/>
        <family val="2"/>
      </rPr>
      <t>çã</t>
    </r>
    <r>
      <rPr>
        <sz val="10"/>
        <color theme="1"/>
        <rFont val="Times New Roman"/>
        <family val="1"/>
      </rPr>
      <t>o, Sa</t>
    </r>
    <r>
      <rPr>
        <sz val="10"/>
        <color theme="1"/>
        <rFont val="Calibri"/>
        <family val="2"/>
      </rPr>
      <t>ú</t>
    </r>
    <r>
      <rPr>
        <sz val="10"/>
        <color theme="1"/>
        <rFont val="Times New Roman"/>
        <family val="1"/>
      </rPr>
      <t>de,Agricultura, Emprego e Clima</t>
    </r>
  </si>
  <si>
    <t>Água, Saneamento e Higiene</t>
  </si>
  <si>
    <t>Padrinhos do Mundo- Associaçáo</t>
  </si>
  <si>
    <t>843984497 /233001564</t>
  </si>
  <si>
    <t>APN- Ajuda Popoular da Noruega</t>
  </si>
  <si>
    <t>Reino da Noruega</t>
  </si>
  <si>
    <t xml:space="preserve"> </t>
  </si>
  <si>
    <t>Miranda</t>
  </si>
  <si>
    <t>Assistencia Social, Educação</t>
  </si>
  <si>
    <t xml:space="preserve">Rua Manjor Serpa pinto 568 Ponta Gea </t>
  </si>
  <si>
    <t xml:space="preserve">Assistência Social, Género e Educação  </t>
  </si>
  <si>
    <t>AJUDEC</t>
  </si>
  <si>
    <t>Frankfurt Zoological Society</t>
  </si>
  <si>
    <t>Republica Federal de Alemanha</t>
  </si>
  <si>
    <t>846075367/866075367/877025025</t>
  </si>
  <si>
    <t>Helpcode Italia</t>
  </si>
  <si>
    <t>Helpacode Italia</t>
  </si>
  <si>
    <t>Republica Italiana</t>
  </si>
  <si>
    <t>Malaria Cosortium</t>
  </si>
  <si>
    <t>Reino da Gra Bretanha e Irlanda do Norte</t>
  </si>
  <si>
    <t>Paulino Muagona</t>
  </si>
  <si>
    <t>p.muagona.21@malariaconsortium.org</t>
  </si>
  <si>
    <t>20/02/2024</t>
  </si>
  <si>
    <t>Agricoltori Solidarieta e Sviluppo</t>
  </si>
  <si>
    <t>Iltalia</t>
  </si>
  <si>
    <t>Agricultura, Meio Ambiente e Genero</t>
  </si>
  <si>
    <t>ORCAMENTO</t>
  </si>
  <si>
    <t>Reino Unido da Gra-Bretanha e Irlanda do Norte</t>
  </si>
  <si>
    <t>Amitofo Care Center of Mozambique</t>
  </si>
  <si>
    <t>Dondo - Macharote</t>
  </si>
  <si>
    <t>Tan Kah Ching</t>
  </si>
  <si>
    <t>Acolhimento de criancas orfas e vulneraveis</t>
  </si>
  <si>
    <t>848269695/842646873</t>
  </si>
  <si>
    <t>28/11/2024</t>
  </si>
  <si>
    <t>30/09/2024</t>
  </si>
  <si>
    <t>28/06/2024</t>
  </si>
  <si>
    <t>We Effect</t>
  </si>
  <si>
    <t>17/09/2021</t>
  </si>
  <si>
    <t>23/01/2024</t>
  </si>
  <si>
    <t>EUA e CANADA</t>
  </si>
  <si>
    <t>Terres Des Hommes Suica</t>
  </si>
  <si>
    <t>Ferreira Gomba Alberto, Chido Vaz</t>
  </si>
  <si>
    <t>876894769/871806261</t>
  </si>
  <si>
    <t>OIKOS</t>
  </si>
  <si>
    <t>847721713/</t>
  </si>
  <si>
    <t>Dinis Chembene</t>
  </si>
  <si>
    <t>Judas</t>
  </si>
  <si>
    <t>18/10/2024</t>
  </si>
  <si>
    <t>13/03/204</t>
  </si>
  <si>
    <t>Chironda</t>
  </si>
  <si>
    <t>876404980/ 846404987</t>
  </si>
  <si>
    <t xml:space="preserve">EUA </t>
  </si>
  <si>
    <t>Nhamatanda, Caia, Búzi, Chibabava</t>
  </si>
  <si>
    <t>Iris Global</t>
  </si>
  <si>
    <t>Republica Sul Africana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</si>
  <si>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</si>
  <si>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28/11/2025</t>
  </si>
  <si>
    <t>20/11/2025</t>
  </si>
  <si>
    <t>Johanniter Unfal Hilfe, V</t>
  </si>
  <si>
    <t>Republica Federal Society</t>
  </si>
  <si>
    <t>28/07/2025</t>
  </si>
  <si>
    <t>Dondo e Nhamatanda</t>
  </si>
  <si>
    <t>Alice</t>
  </si>
  <si>
    <t>Ponta-gea</t>
  </si>
  <si>
    <t>Marrengula</t>
  </si>
  <si>
    <t>ANO DE IMPLANTAÇÃO/RENOVACAO</t>
  </si>
  <si>
    <t>31/05/2004</t>
  </si>
  <si>
    <t>Chcaico Namame</t>
  </si>
  <si>
    <t>Office.moz@thejohanniter.org</t>
  </si>
  <si>
    <t>19/06/2026</t>
  </si>
  <si>
    <t>Alcides Pangaia</t>
  </si>
  <si>
    <t>A.Pangaia@forafrika.org</t>
  </si>
  <si>
    <t>Inhamizua</t>
  </si>
  <si>
    <t>Beira, Dondo, Chemba</t>
  </si>
  <si>
    <t>Agricultura,Educação,Resposta a Emergencia, Wash e Saude</t>
  </si>
  <si>
    <t>12,757.050,00</t>
  </si>
  <si>
    <t>We World -GVC</t>
  </si>
  <si>
    <t>Doadores</t>
  </si>
  <si>
    <t>Educacao, Meio Ambiente, Agua, Agricultura</t>
  </si>
  <si>
    <t>Somerschield</t>
  </si>
  <si>
    <t>364.239,580</t>
  </si>
  <si>
    <t>lista das ONG Activas na Provincia 2026</t>
  </si>
  <si>
    <t>24/11/2026</t>
  </si>
  <si>
    <t>24/10/2025- despacho de 31/05/2026</t>
  </si>
  <si>
    <t>USAID /Parque Nacional da Gorongosa</t>
  </si>
  <si>
    <t>27/11/2025- Despacho de 31/03/2026</t>
  </si>
  <si>
    <t>30/10/2025- Despacho de 24 /11/2026</t>
  </si>
  <si>
    <t>Despacho de 08/06/2026</t>
  </si>
  <si>
    <t>Terres Des Hommes -Italia</t>
  </si>
  <si>
    <t>9/12/2025-Despacho de 06/03/2026</t>
  </si>
  <si>
    <t>Despacho de 23/01/2026</t>
  </si>
  <si>
    <t>Despacho de 19/01/2026</t>
  </si>
  <si>
    <t>2001- Despacho de 29.12.2025</t>
  </si>
  <si>
    <t>Despacho de 20/10/2025</t>
  </si>
  <si>
    <t>Despacho de 29/08/2025</t>
  </si>
  <si>
    <t>antoniobernardo95@gmail.com</t>
  </si>
  <si>
    <t>Nacional/ 7 milhoes</t>
  </si>
  <si>
    <t>Taiw</t>
  </si>
  <si>
    <t>celestinofombe@gmail</t>
  </si>
  <si>
    <t>Gorongosa/</t>
  </si>
  <si>
    <t>resendetomo76@gmail.com</t>
  </si>
  <si>
    <t>Resende</t>
  </si>
  <si>
    <t>13/03/2024 Despacho de 09 de Julho de 2026</t>
  </si>
  <si>
    <t>Nhamatanda, Buzi e Machanga</t>
  </si>
  <si>
    <t>Estados Unidos de America</t>
  </si>
  <si>
    <t>Sede em Maputo</t>
  </si>
  <si>
    <t>PANAFRICARE</t>
  </si>
  <si>
    <r>
      <t>Sa</t>
    </r>
    <r>
      <rPr>
        <sz val="10"/>
        <color theme="1"/>
        <rFont val="Calibri"/>
        <family val="2"/>
      </rPr>
      <t>ú</t>
    </r>
    <r>
      <rPr>
        <sz val="10"/>
        <color theme="1"/>
        <rFont val="Times New Roman"/>
        <family val="1"/>
      </rPr>
      <t>de e Educa</t>
    </r>
    <r>
      <rPr>
        <sz val="10"/>
        <color theme="1"/>
        <rFont val="Calibri"/>
        <family val="2"/>
      </rPr>
      <t>çã</t>
    </r>
    <r>
      <rPr>
        <sz val="10"/>
        <color theme="1"/>
        <rFont val="Times New Roman"/>
        <family val="1"/>
      </rPr>
      <t>o</t>
    </r>
  </si>
  <si>
    <t>Saraiva/ Hannah Danzinger da Silva</t>
  </si>
  <si>
    <r>
      <t>Rep</t>
    </r>
    <r>
      <rPr>
        <sz val="10"/>
        <color theme="1"/>
        <rFont val="Calibri"/>
        <family val="2"/>
      </rPr>
      <t>ú</t>
    </r>
    <r>
      <rPr>
        <sz val="10"/>
        <color theme="1"/>
        <rFont val="Times New Roman"/>
        <family val="1"/>
      </rPr>
      <t>blica de Senegal</t>
    </r>
  </si>
  <si>
    <r>
      <t>Rep</t>
    </r>
    <r>
      <rPr>
        <sz val="10"/>
        <color theme="1"/>
        <rFont val="Calibri"/>
        <family val="2"/>
      </rPr>
      <t>ú</t>
    </r>
    <r>
      <rPr>
        <sz val="10"/>
        <color theme="1"/>
        <rFont val="Times New Roman"/>
        <family val="1"/>
      </rPr>
      <t>blica de Portugal</t>
    </r>
  </si>
  <si>
    <r>
      <t>Rep</t>
    </r>
    <r>
      <rPr>
        <sz val="10"/>
        <color theme="1"/>
        <rFont val="Calibri"/>
        <family val="2"/>
      </rPr>
      <t>ú</t>
    </r>
    <r>
      <rPr>
        <sz val="10"/>
        <color theme="1"/>
        <rFont val="Times New Roman"/>
        <family val="1"/>
      </rPr>
      <t>blic da It</t>
    </r>
    <r>
      <rPr>
        <sz val="10"/>
        <color theme="1"/>
        <rFont val="Calibri"/>
        <family val="2"/>
      </rPr>
      <t>á</t>
    </r>
    <r>
      <rPr>
        <sz val="10"/>
        <color theme="1"/>
        <rFont val="Times New Roman"/>
        <family val="1"/>
      </rPr>
      <t>lia</t>
    </r>
  </si>
  <si>
    <r>
      <t>Educa</t>
    </r>
    <r>
      <rPr>
        <sz val="10"/>
        <color theme="1"/>
        <rFont val="Calibri"/>
        <family val="2"/>
      </rPr>
      <t>çã</t>
    </r>
    <r>
      <rPr>
        <sz val="10"/>
        <color theme="1"/>
        <rFont val="Times New Roman"/>
        <family val="1"/>
      </rPr>
      <t>o</t>
    </r>
  </si>
  <si>
    <r>
      <t>Rep</t>
    </r>
    <r>
      <rPr>
        <sz val="10"/>
        <color theme="1"/>
        <rFont val="Calibri"/>
        <family val="2"/>
      </rPr>
      <t>ú</t>
    </r>
    <r>
      <rPr>
        <sz val="10"/>
        <color theme="1"/>
        <rFont val="Times New Roman"/>
        <family val="1"/>
      </rPr>
      <t>blica do Jap</t>
    </r>
    <r>
      <rPr>
        <sz val="10"/>
        <color theme="1"/>
        <rFont val="Calibri"/>
        <family val="2"/>
      </rPr>
      <t>ã</t>
    </r>
    <r>
      <rPr>
        <sz val="10"/>
        <color theme="1"/>
        <rFont val="Times New Roman"/>
        <family val="1"/>
      </rPr>
      <t>o</t>
    </r>
  </si>
  <si>
    <r>
      <t>Austr</t>
    </r>
    <r>
      <rPr>
        <sz val="10"/>
        <color theme="1"/>
        <rFont val="Calibri"/>
        <family val="2"/>
      </rPr>
      <t>á</t>
    </r>
    <r>
      <rPr>
        <sz val="10"/>
        <color theme="1"/>
        <rFont val="Times New Roman"/>
        <family val="1"/>
      </rPr>
      <t>lia</t>
    </r>
  </si>
  <si>
    <r>
      <t>Confedera</t>
    </r>
    <r>
      <rPr>
        <sz val="10"/>
        <color theme="1"/>
        <rFont val="Calibri"/>
        <family val="2"/>
      </rPr>
      <t>çã</t>
    </r>
    <r>
      <rPr>
        <sz val="10"/>
        <color theme="1"/>
        <rFont val="Times New Roman"/>
        <family val="1"/>
      </rPr>
      <t>o Suica</t>
    </r>
  </si>
  <si>
    <t>CISP-Comitato Internazionale Per lo Sviluppo dei Popoli</t>
  </si>
  <si>
    <t xml:space="preserve">Agricultura, Assistência Social e Género </t>
  </si>
  <si>
    <t>Dininis.chembene@oikos.pt</t>
  </si>
  <si>
    <t>Light for the world Internacional</t>
  </si>
  <si>
    <t>Assistencia Social, Educacao e Saude</t>
  </si>
  <si>
    <t>Milton</t>
  </si>
  <si>
    <r>
      <t>Ponta -G</t>
    </r>
    <r>
      <rPr>
        <sz val="10"/>
        <color theme="1"/>
        <rFont val="Calibri"/>
        <family val="2"/>
      </rPr>
      <t>ê</t>
    </r>
    <r>
      <rPr>
        <sz val="10"/>
        <color theme="1"/>
        <rFont val="Times New Roman"/>
        <family val="1"/>
      </rPr>
      <t>a</t>
    </r>
  </si>
  <si>
    <t>Dondo,Nhamatanda e Gorongosa</t>
  </si>
  <si>
    <t>Koreia de Sul</t>
  </si>
  <si>
    <t>Alliance For  Green Revolution IN AFRICA- AGRA</t>
  </si>
  <si>
    <t>Republica de  Quenia</t>
  </si>
  <si>
    <t>Cidade de Maputo</t>
  </si>
  <si>
    <t xml:space="preserve">Assistência Social, Género, Saúde. Agua. Cultura e Educação </t>
  </si>
  <si>
    <t>Confederação Suica</t>
  </si>
  <si>
    <r>
      <t>Alem</t>
    </r>
    <r>
      <rPr>
        <sz val="10"/>
        <color theme="1"/>
        <rFont val="Calibri"/>
        <family val="2"/>
      </rPr>
      <t>ã</t>
    </r>
  </si>
  <si>
    <t>Republica Francesa</t>
  </si>
  <si>
    <t>Fredy Rivera</t>
  </si>
  <si>
    <t>Wilson Milato</t>
  </si>
  <si>
    <t>Medicos Sem Fronteiras-Belgica</t>
  </si>
  <si>
    <t>Reino da Belgica</t>
  </si>
  <si>
    <t>Cominita Di S. Egidio - ACAP</t>
  </si>
  <si>
    <t>Nhamatanda, Gorongosa, Maringue Muanza e Cheringoma</t>
  </si>
  <si>
    <t>Republica do Quenia</t>
  </si>
  <si>
    <r>
      <t>Com</t>
    </r>
    <r>
      <rPr>
        <sz val="10"/>
        <color theme="1"/>
        <rFont val="Calibri"/>
        <family val="2"/>
      </rPr>
      <t>é</t>
    </r>
    <r>
      <rPr>
        <sz val="10"/>
        <color theme="1"/>
        <rFont val="Times New Roman"/>
        <family val="1"/>
      </rPr>
      <t>rcio</t>
    </r>
  </si>
  <si>
    <t>Assistência Social, Agricultura,Educação e Genero</t>
  </si>
  <si>
    <t>Beira, Marromeu, Caia, Gorongosa, Chibabava, Buzi, Nhamatanda e Dondo</t>
  </si>
  <si>
    <t>Sede- Chimoio</t>
  </si>
  <si>
    <t>Sede Maputo</t>
  </si>
  <si>
    <t>Coordenador- Januario Dengane</t>
  </si>
  <si>
    <t>872071136/844939591/872750192</t>
  </si>
  <si>
    <t>j.dengane@tdhitaly.onmicrosoft.com</t>
  </si>
  <si>
    <t>Reducao da pobreza, Agricultura, Assistência Social, Educação, Agua, higiene  e Nutricao</t>
  </si>
  <si>
    <t>Saude e Assistencia Social</t>
  </si>
  <si>
    <t xml:space="preserve">Agricultura, Saude e Meio Ambiente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</si>
</sst>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0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name val="Arial Narrow"/>
      <family val="2"/>
    </font>
    <font>
      <sz val="11"/>
      <name val="Arial"/>
      <family val="2"/>
    </font>
    <font>
      <u/>
      <sz val="11"/>
      <name val="Calibri"/>
      <family val="2"/>
      <scheme val="minor"/>
    </font>
    <font>
      <sz val="14"/>
      <name val="Arial Narrow"/>
      <family val="2"/>
    </font>
    <font>
      <u/>
      <sz val="11"/>
      <name val="Arial Narrow"/>
      <family val="2"/>
    </font>
    <font>
      <sz val="10"/>
      <name val="Arial"/>
      <family val="2"/>
    </font>
    <font>
      <u/>
      <sz val="10"/>
      <name val="Arial"/>
      <family val="2"/>
    </font>
    <font>
      <sz val="11"/>
      <name val="Times New Roman"/>
      <family val="1"/>
    </font>
    <font>
      <sz val="12"/>
      <name val="Arial Narrow"/>
      <family val="2"/>
    </font>
    <font>
      <sz val="10"/>
      <name val="Times New Roman"/>
      <family val="1"/>
    </font>
    <font>
      <sz val="12"/>
      <name val="Arial"/>
      <family val="2"/>
    </font>
    <font>
      <sz val="8"/>
      <name val="Arial"/>
      <family val="2"/>
    </font>
    <font>
      <b/>
      <i/>
      <sz val="11"/>
      <name val="Arial Narrow"/>
      <family val="2"/>
    </font>
    <font>
      <sz val="9"/>
      <name val="Times New Roman"/>
      <family val="1"/>
    </font>
    <font>
      <sz val="11"/>
      <name val="Calibri"/>
      <family val="2"/>
      <scheme val="minor"/>
    </font>
    <font>
      <sz val="9"/>
      <name val="Arial Narrow"/>
      <family val="2"/>
    </font>
    <font>
      <b/>
      <sz val="11"/>
      <color theme="1"/>
      <name val="Calibri"/>
      <family val="2"/>
      <scheme val="minor"/>
    </font>
    <font>
      <b/>
      <sz val="11"/>
      <name val="Arial Narrow"/>
      <family val="2"/>
    </font>
    <font>
      <b/>
      <sz val="11"/>
      <color theme="1"/>
      <name val="Arial"/>
      <family val="2"/>
    </font>
    <font>
      <u/>
      <sz val="11"/>
      <color theme="10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u/>
      <sz val="12"/>
      <color theme="1"/>
      <name val="Arial"/>
      <family val="2"/>
    </font>
    <font>
      <b/>
      <sz val="12"/>
      <color theme="1"/>
      <name val="Arial"/>
      <family val="2"/>
    </font>
    <font>
      <b/>
      <sz val="11"/>
      <name val="Arial"/>
      <family val="2"/>
    </font>
    <font>
      <sz val="11"/>
      <color rgb="FFFF0000"/>
      <name val="Arial Narrow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0"/>
      <color theme="1"/>
      <name val="Times New Roman"/>
      <family val="1"/>
    </font>
    <font>
      <u/>
      <sz val="11"/>
      <color theme="10"/>
      <name val="Times New Roman"/>
      <family val="1"/>
    </font>
    <font>
      <u/>
      <sz val="10"/>
      <color theme="10"/>
      <name val="Times New Roman"/>
      <family val="1"/>
    </font>
    <font>
      <u/>
      <sz val="10"/>
      <name val="Times New Roman"/>
      <family val="1"/>
    </font>
    <font>
      <u/>
      <sz val="11"/>
      <color theme="1"/>
      <name val="Times New Roman"/>
      <family val="1"/>
    </font>
    <font>
      <u/>
      <sz val="10"/>
      <color theme="1"/>
      <name val="Times New Roman"/>
      <family val="1"/>
    </font>
    <font>
      <sz val="11"/>
      <color theme="1"/>
      <name val="Times New Roman"/>
      <family val="1"/>
    </font>
    <font>
      <sz val="10"/>
      <color rgb="FFFF0000"/>
      <name val="Times New Roman"/>
      <family val="1"/>
    </font>
    <font>
      <sz val="10"/>
      <color theme="1"/>
      <name val="Calibri"/>
      <family val="2"/>
    </font>
    <font>
      <sz val="10"/>
      <name val="Arial Narrow"/>
      <family val="2"/>
    </font>
    <font>
      <sz val="10"/>
      <color theme="1"/>
      <name val="Times New Roman"/>
      <charset val="134"/>
    </font>
    <font>
      <sz val="12"/>
      <color theme="1"/>
      <name val="Times New Roman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4" fillId="0" borderId="0"/>
    <xf numFmtId="0" fontId="3" fillId="0" borderId="0" applyNumberFormat="0" applyFill="0" applyBorder="0" applyAlignment="0" applyProtection="0"/>
  </cellStyleXfs>
  <cellXfs count="256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/>
    <xf numFmtId="0" fontId="0" fillId="2" borderId="0" xfId="0" applyFill="1" applyAlignment="1">
      <alignment wrapText="1"/>
    </xf>
    <xf numFmtId="0" fontId="5" fillId="0" borderId="0" xfId="0" applyFont="1" applyAlignment="1">
      <alignment wrapText="1"/>
    </xf>
    <xf numFmtId="0" fontId="0" fillId="0" borderId="0" xfId="0" applyAlignment="1">
      <alignment horizont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6" fillId="0" borderId="1" xfId="0" applyFont="1" applyFill="1" applyBorder="1" applyAlignment="1">
      <alignment horizontal="left" vertical="top" wrapText="1"/>
    </xf>
    <xf numFmtId="0" fontId="8" fillId="0" borderId="1" xfId="1" applyFont="1" applyFill="1" applyBorder="1" applyAlignment="1">
      <alignment horizontal="left" vertical="top" wrapText="1"/>
    </xf>
    <xf numFmtId="0" fontId="10" fillId="0" borderId="1" xfId="1" applyFont="1" applyFill="1" applyBorder="1" applyAlignment="1">
      <alignment horizontal="left" vertical="top" wrapText="1"/>
    </xf>
    <xf numFmtId="0" fontId="12" fillId="0" borderId="1" xfId="1" applyFont="1" applyFill="1" applyBorder="1" applyAlignment="1">
      <alignment horizontal="left" vertical="center" wrapText="1"/>
    </xf>
    <xf numFmtId="0" fontId="8" fillId="0" borderId="1" xfId="1" applyFont="1" applyFill="1" applyBorder="1" applyAlignment="1">
      <alignment horizontal="center" vertical="center" wrapText="1"/>
    </xf>
    <xf numFmtId="0" fontId="7" fillId="0" borderId="1" xfId="1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 wrapText="1"/>
    </xf>
    <xf numFmtId="0" fontId="2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top" wrapText="1"/>
    </xf>
    <xf numFmtId="0" fontId="6" fillId="0" borderId="1" xfId="0" applyFont="1" applyFill="1" applyBorder="1" applyAlignment="1">
      <alignment horizontal="left" vertical="center" wrapText="1"/>
    </xf>
    <xf numFmtId="0" fontId="16" fillId="0" borderId="6" xfId="0" applyFont="1" applyFill="1" applyBorder="1" applyAlignment="1">
      <alignment horizontal="justify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6" fillId="0" borderId="1" xfId="2" applyFont="1" applyFill="1" applyBorder="1" applyAlignment="1">
      <alignment horizontal="left" vertical="top" wrapText="1"/>
    </xf>
    <xf numFmtId="0" fontId="6" fillId="0" borderId="1" xfId="2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left" vertical="top" wrapText="1"/>
    </xf>
    <xf numFmtId="0" fontId="1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16" fillId="0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left" vertical="center" wrapText="1"/>
    </xf>
    <xf numFmtId="4" fontId="7" fillId="0" borderId="1" xfId="0" applyNumberFormat="1" applyFont="1" applyFill="1" applyBorder="1" applyAlignment="1">
      <alignment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left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top" wrapText="1"/>
    </xf>
    <xf numFmtId="0" fontId="20" fillId="0" borderId="1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center" vertical="top" wrapText="1"/>
    </xf>
    <xf numFmtId="0" fontId="20" fillId="0" borderId="0" xfId="0" applyFont="1" applyFill="1" applyAlignment="1">
      <alignment wrapText="1"/>
    </xf>
    <xf numFmtId="0" fontId="20" fillId="0" borderId="0" xfId="0" applyFont="1" applyFill="1" applyAlignment="1">
      <alignment horizontal="center"/>
    </xf>
    <xf numFmtId="0" fontId="6" fillId="0" borderId="0" xfId="0" applyFont="1" applyFill="1" applyBorder="1" applyAlignment="1">
      <alignment horizontal="left" vertical="center" wrapText="1"/>
    </xf>
    <xf numFmtId="0" fontId="6" fillId="0" borderId="7" xfId="0" applyFont="1" applyFill="1" applyBorder="1" applyAlignment="1">
      <alignment horizontal="left" vertical="center" wrapText="1"/>
    </xf>
    <xf numFmtId="0" fontId="6" fillId="0" borderId="10" xfId="0" applyFont="1" applyFill="1" applyBorder="1" applyAlignment="1">
      <alignment horizontal="left" vertical="center" wrapText="1"/>
    </xf>
    <xf numFmtId="0" fontId="24" fillId="0" borderId="0" xfId="0" applyFont="1" applyAlignment="1">
      <alignment vertical="center" wrapText="1"/>
    </xf>
    <xf numFmtId="0" fontId="25" fillId="0" borderId="1" xfId="1" applyFont="1" applyFill="1" applyBorder="1" applyAlignment="1">
      <alignment horizontal="left" vertical="top" wrapText="1"/>
    </xf>
    <xf numFmtId="0" fontId="26" fillId="0" borderId="2" xfId="0" applyFont="1" applyBorder="1" applyAlignment="1">
      <alignment horizontal="center" vertical="center" wrapText="1"/>
    </xf>
    <xf numFmtId="0" fontId="26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4" fillId="0" borderId="2" xfId="0" applyFont="1" applyBorder="1" applyAlignment="1">
      <alignment horizontal="center" vertical="center" wrapText="1"/>
    </xf>
    <xf numFmtId="0" fontId="26" fillId="0" borderId="2" xfId="0" applyFont="1" applyBorder="1" applyAlignment="1">
      <alignment vertical="center" wrapText="1"/>
    </xf>
    <xf numFmtId="0" fontId="24" fillId="0" borderId="2" xfId="0" applyFont="1" applyBorder="1" applyAlignment="1">
      <alignment vertical="center" wrapText="1"/>
    </xf>
    <xf numFmtId="0" fontId="26" fillId="0" borderId="0" xfId="0" applyFont="1" applyAlignment="1">
      <alignment wrapText="1"/>
    </xf>
    <xf numFmtId="0" fontId="25" fillId="0" borderId="13" xfId="1" applyFont="1" applyBorder="1" applyAlignment="1">
      <alignment vertical="center" wrapText="1"/>
    </xf>
    <xf numFmtId="0" fontId="26" fillId="0" borderId="0" xfId="0" applyFont="1" applyAlignment="1">
      <alignment vertical="center" wrapText="1"/>
    </xf>
    <xf numFmtId="0" fontId="24" fillId="0" borderId="24" xfId="0" applyFont="1" applyBorder="1" applyAlignment="1">
      <alignment vertical="center" wrapText="1"/>
    </xf>
    <xf numFmtId="0" fontId="24" fillId="0" borderId="27" xfId="0" applyFont="1" applyBorder="1" applyAlignment="1">
      <alignment vertical="center" wrapText="1"/>
    </xf>
    <xf numFmtId="0" fontId="26" fillId="0" borderId="7" xfId="0" applyFont="1" applyBorder="1" applyAlignment="1">
      <alignment vertical="center" wrapText="1"/>
    </xf>
    <xf numFmtId="0" fontId="26" fillId="0" borderId="1" xfId="0" applyFont="1" applyBorder="1" applyAlignment="1">
      <alignment wrapText="1"/>
    </xf>
    <xf numFmtId="0" fontId="7" fillId="0" borderId="8" xfId="0" applyFont="1" applyFill="1" applyBorder="1" applyAlignment="1">
      <alignment horizontal="left" vertical="center" wrapText="1"/>
    </xf>
    <xf numFmtId="0" fontId="27" fillId="0" borderId="0" xfId="0" applyFont="1" applyAlignment="1">
      <alignment wrapText="1"/>
    </xf>
    <xf numFmtId="0" fontId="28" fillId="0" borderId="0" xfId="0" applyFont="1" applyAlignment="1">
      <alignment horizontal="left" vertical="center" wrapText="1" indent="1"/>
    </xf>
    <xf numFmtId="0" fontId="25" fillId="0" borderId="0" xfId="1" applyFont="1" applyAlignment="1">
      <alignment horizontal="left" vertical="center" wrapText="1" indent="1"/>
    </xf>
    <xf numFmtId="0" fontId="26" fillId="0" borderId="1" xfId="0" applyFont="1" applyBorder="1" applyAlignment="1">
      <alignment horizontal="justify" vertical="center" wrapText="1"/>
    </xf>
    <xf numFmtId="0" fontId="26" fillId="0" borderId="0" xfId="0" applyFont="1" applyAlignment="1">
      <alignment horizontal="justify" vertical="center" wrapText="1"/>
    </xf>
    <xf numFmtId="0" fontId="7" fillId="0" borderId="9" xfId="0" applyFont="1" applyFill="1" applyBorder="1" applyAlignment="1">
      <alignment horizontal="left" vertical="top" wrapText="1"/>
    </xf>
    <xf numFmtId="0" fontId="26" fillId="0" borderId="14" xfId="0" applyFont="1" applyBorder="1" applyAlignment="1">
      <alignment vertical="center" wrapText="1"/>
    </xf>
    <xf numFmtId="0" fontId="27" fillId="0" borderId="1" xfId="0" applyFont="1" applyBorder="1" applyAlignment="1">
      <alignment wrapText="1"/>
    </xf>
    <xf numFmtId="0" fontId="7" fillId="0" borderId="14" xfId="0" applyFont="1" applyFill="1" applyBorder="1" applyAlignment="1">
      <alignment horizontal="left" vertical="center" wrapText="1"/>
    </xf>
    <xf numFmtId="0" fontId="27" fillId="0" borderId="9" xfId="0" applyFont="1" applyBorder="1" applyAlignment="1">
      <alignment vertical="center" wrapText="1"/>
    </xf>
    <xf numFmtId="0" fontId="28" fillId="0" borderId="9" xfId="0" applyFont="1" applyBorder="1" applyAlignment="1">
      <alignment vertical="center" wrapText="1"/>
    </xf>
    <xf numFmtId="0" fontId="25" fillId="0" borderId="9" xfId="1" applyFont="1" applyBorder="1" applyAlignment="1">
      <alignment vertical="center" wrapText="1"/>
    </xf>
    <xf numFmtId="0" fontId="26" fillId="0" borderId="21" xfId="0" applyFont="1" applyBorder="1" applyAlignment="1">
      <alignment vertical="center" wrapText="1"/>
    </xf>
    <xf numFmtId="0" fontId="26" fillId="0" borderId="23" xfId="0" applyFont="1" applyBorder="1" applyAlignment="1">
      <alignment vertical="center" wrapText="1"/>
    </xf>
    <xf numFmtId="0" fontId="26" fillId="0" borderId="1" xfId="0" applyFont="1" applyBorder="1"/>
    <xf numFmtId="0" fontId="26" fillId="0" borderId="1" xfId="0" applyFont="1" applyBorder="1" applyAlignment="1">
      <alignment vertical="center" wrapText="1"/>
    </xf>
    <xf numFmtId="0" fontId="26" fillId="0" borderId="22" xfId="0" applyFont="1" applyBorder="1" applyAlignment="1">
      <alignment vertical="center" wrapText="1"/>
    </xf>
    <xf numFmtId="0" fontId="26" fillId="0" borderId="17" xfId="0" applyFont="1" applyBorder="1" applyAlignment="1">
      <alignment vertical="center" wrapText="1"/>
    </xf>
    <xf numFmtId="0" fontId="26" fillId="0" borderId="1" xfId="0" applyFont="1" applyBorder="1" applyAlignment="1">
      <alignment horizontal="center" wrapText="1"/>
    </xf>
    <xf numFmtId="0" fontId="26" fillId="0" borderId="18" xfId="0" applyFont="1" applyBorder="1" applyAlignment="1">
      <alignment wrapText="1"/>
    </xf>
    <xf numFmtId="0" fontId="27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vertical="center" wrapText="1"/>
    </xf>
    <xf numFmtId="0" fontId="25" fillId="0" borderId="10" xfId="1" applyFont="1" applyBorder="1" applyAlignment="1">
      <alignment vertical="center" wrapText="1"/>
    </xf>
    <xf numFmtId="0" fontId="27" fillId="0" borderId="0" xfId="0" applyFont="1" applyAlignment="1">
      <alignment vertical="center" wrapText="1"/>
    </xf>
    <xf numFmtId="0" fontId="27" fillId="0" borderId="1" xfId="0" applyFont="1" applyBorder="1" applyAlignment="1">
      <alignment horizontal="left" vertical="center" wrapText="1" indent="1"/>
    </xf>
    <xf numFmtId="0" fontId="27" fillId="0" borderId="7" xfId="0" applyFont="1" applyBorder="1" applyAlignment="1">
      <alignment vertical="center" wrapText="1"/>
    </xf>
    <xf numFmtId="0" fontId="27" fillId="0" borderId="25" xfId="0" applyFont="1" applyBorder="1" applyAlignment="1">
      <alignment vertical="center" wrapText="1"/>
    </xf>
    <xf numFmtId="0" fontId="26" fillId="0" borderId="1" xfId="0" applyFont="1" applyBorder="1" applyAlignment="1">
      <alignment horizontal="left" vertical="center" wrapText="1" indent="1"/>
    </xf>
    <xf numFmtId="0" fontId="7" fillId="0" borderId="1" xfId="2" applyFont="1" applyFill="1" applyBorder="1" applyAlignment="1">
      <alignment horizontal="left" vertical="top" wrapText="1"/>
    </xf>
    <xf numFmtId="0" fontId="25" fillId="0" borderId="12" xfId="1" applyFont="1" applyFill="1" applyBorder="1" applyAlignment="1">
      <alignment horizontal="left" vertical="top" wrapText="1"/>
    </xf>
    <xf numFmtId="0" fontId="24" fillId="0" borderId="0" xfId="0" applyFont="1" applyAlignment="1">
      <alignment horizontal="left" vertical="center" wrapText="1"/>
    </xf>
    <xf numFmtId="0" fontId="7" fillId="0" borderId="10" xfId="0" applyFont="1" applyFill="1" applyBorder="1" applyAlignment="1">
      <alignment horizontal="left" vertical="center" wrapText="1"/>
    </xf>
    <xf numFmtId="0" fontId="7" fillId="0" borderId="8" xfId="0" applyFont="1" applyFill="1" applyBorder="1" applyAlignment="1">
      <alignment horizontal="left" vertical="top" wrapText="1"/>
    </xf>
    <xf numFmtId="0" fontId="7" fillId="0" borderId="7" xfId="0" applyFont="1" applyFill="1" applyBorder="1" applyAlignment="1">
      <alignment horizontal="left" vertical="center" wrapText="1"/>
    </xf>
    <xf numFmtId="0" fontId="26" fillId="0" borderId="26" xfId="0" applyFont="1" applyBorder="1" applyAlignment="1">
      <alignment vertical="center" wrapText="1"/>
    </xf>
    <xf numFmtId="0" fontId="24" fillId="0" borderId="1" xfId="0" applyFont="1" applyBorder="1" applyAlignment="1">
      <alignment vertical="center"/>
    </xf>
    <xf numFmtId="0" fontId="26" fillId="0" borderId="1" xfId="0" applyFont="1" applyBorder="1" applyAlignment="1">
      <alignment vertical="center"/>
    </xf>
    <xf numFmtId="0" fontId="7" fillId="0" borderId="10" xfId="0" applyFont="1" applyFill="1" applyBorder="1" applyAlignment="1">
      <alignment horizontal="left" vertical="top" wrapText="1"/>
    </xf>
    <xf numFmtId="0" fontId="7" fillId="0" borderId="7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top" wrapText="1"/>
    </xf>
    <xf numFmtId="0" fontId="6" fillId="0" borderId="9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20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6" fillId="0" borderId="1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1" xfId="1" applyFill="1" applyBorder="1" applyAlignment="1">
      <alignment horizontal="left" vertical="top" wrapText="1"/>
    </xf>
    <xf numFmtId="0" fontId="0" fillId="0" borderId="0" xfId="0" applyBorder="1" applyAlignment="1">
      <alignment wrapText="1"/>
    </xf>
    <xf numFmtId="0" fontId="0" fillId="0" borderId="1" xfId="0" applyBorder="1" applyAlignment="1">
      <alignment vertical="center" wrapText="1"/>
    </xf>
    <xf numFmtId="0" fontId="21" fillId="0" borderId="1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15" fillId="0" borderId="1" xfId="0" applyFont="1" applyFill="1" applyBorder="1"/>
    <xf numFmtId="0" fontId="14" fillId="0" borderId="1" xfId="0" applyFont="1" applyFill="1" applyBorder="1" applyAlignment="1">
      <alignment horizontal="justify" vertical="top" wrapText="1"/>
    </xf>
    <xf numFmtId="0" fontId="6" fillId="0" borderId="3" xfId="0" applyFont="1" applyFill="1" applyBorder="1" applyAlignment="1">
      <alignment horizontal="left" vertical="top" wrapText="1"/>
    </xf>
    <xf numFmtId="0" fontId="0" fillId="0" borderId="1" xfId="0" applyBorder="1" applyAlignment="1">
      <alignment wrapText="1"/>
    </xf>
    <xf numFmtId="0" fontId="11" fillId="0" borderId="1" xfId="0" applyFont="1" applyFill="1" applyBorder="1" applyAlignment="1">
      <alignment horizontal="justify" vertical="center" wrapText="1"/>
    </xf>
    <xf numFmtId="0" fontId="6" fillId="0" borderId="2" xfId="0" applyFont="1" applyFill="1" applyBorder="1" applyAlignment="1">
      <alignment horizontal="left" vertical="top" wrapText="1"/>
    </xf>
    <xf numFmtId="0" fontId="19" fillId="0" borderId="1" xfId="0" applyFont="1" applyFill="1" applyBorder="1" applyAlignment="1">
      <alignment wrapText="1"/>
    </xf>
    <xf numFmtId="0" fontId="16" fillId="0" borderId="1" xfId="0" applyFont="1" applyFill="1" applyBorder="1" applyAlignment="1">
      <alignment vertical="center" wrapText="1"/>
    </xf>
    <xf numFmtId="0" fontId="19" fillId="0" borderId="1" xfId="0" applyFont="1" applyFill="1" applyBorder="1"/>
    <xf numFmtId="0" fontId="14" fillId="0" borderId="0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16" fillId="0" borderId="1" xfId="0" applyFont="1" applyFill="1" applyBorder="1" applyAlignment="1">
      <alignment horizontal="justify" vertical="center" wrapText="1"/>
    </xf>
    <xf numFmtId="0" fontId="6" fillId="0" borderId="6" xfId="0" applyFont="1" applyFill="1" applyBorder="1" applyAlignment="1">
      <alignment horizontal="left" vertical="top" wrapText="1"/>
    </xf>
    <xf numFmtId="0" fontId="6" fillId="0" borderId="4" xfId="0" applyFont="1" applyFill="1" applyBorder="1" applyAlignment="1">
      <alignment horizontal="left" vertical="top" wrapText="1"/>
    </xf>
    <xf numFmtId="0" fontId="23" fillId="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6" fillId="3" borderId="1" xfId="0" applyFont="1" applyFill="1" applyBorder="1" applyAlignment="1">
      <alignment horizontal="left" vertical="center" wrapText="1"/>
    </xf>
    <xf numFmtId="0" fontId="6" fillId="3" borderId="7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horizontal="left" vertical="center" wrapText="1"/>
    </xf>
    <xf numFmtId="0" fontId="31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0" fillId="0" borderId="0" xfId="0" applyBorder="1"/>
    <xf numFmtId="0" fontId="35" fillId="0" borderId="1" xfId="0" applyFont="1" applyBorder="1"/>
    <xf numFmtId="0" fontId="35" fillId="0" borderId="1" xfId="0" applyFont="1" applyBorder="1" applyAlignment="1">
      <alignment vertical="center" wrapText="1"/>
    </xf>
    <xf numFmtId="0" fontId="38" fillId="0" borderId="1" xfId="0" applyFont="1" applyBorder="1"/>
    <xf numFmtId="0" fontId="15" fillId="0" borderId="1" xfId="0" applyFont="1" applyFill="1" applyBorder="1" applyAlignment="1">
      <alignment horizontal="left" vertical="top" wrapText="1"/>
    </xf>
    <xf numFmtId="0" fontId="38" fillId="0" borderId="1" xfId="0" applyFont="1" applyBorder="1" applyAlignment="1">
      <alignment wrapText="1"/>
    </xf>
    <xf numFmtId="0" fontId="39" fillId="0" borderId="1" xfId="1" applyFont="1" applyBorder="1"/>
    <xf numFmtId="0" fontId="40" fillId="0" borderId="1" xfId="1" applyFont="1" applyBorder="1"/>
    <xf numFmtId="0" fontId="41" fillId="0" borderId="1" xfId="1" applyFont="1" applyFill="1" applyBorder="1" applyAlignment="1">
      <alignment horizontal="left" vertical="center" wrapText="1"/>
    </xf>
    <xf numFmtId="0" fontId="40" fillId="0" borderId="1" xfId="1" applyFont="1" applyFill="1" applyBorder="1" applyAlignment="1">
      <alignment horizontal="left" vertical="center" wrapText="1"/>
    </xf>
    <xf numFmtId="0" fontId="15" fillId="0" borderId="1" xfId="0" applyFont="1" applyFill="1" applyBorder="1" applyAlignment="1">
      <alignment horizontal="center" vertical="top" wrapText="1"/>
    </xf>
    <xf numFmtId="0" fontId="38" fillId="0" borderId="1" xfId="0" applyFont="1" applyBorder="1" applyAlignment="1">
      <alignment horizontal="center" vertical="center"/>
    </xf>
    <xf numFmtId="0" fontId="39" fillId="0" borderId="1" xfId="1" applyFont="1" applyBorder="1" applyAlignment="1">
      <alignment wrapText="1"/>
    </xf>
    <xf numFmtId="0" fontId="40" fillId="0" borderId="1" xfId="1" applyFont="1" applyFill="1" applyBorder="1" applyAlignment="1">
      <alignment horizontal="left" vertical="top" wrapText="1"/>
    </xf>
    <xf numFmtId="0" fontId="40" fillId="0" borderId="1" xfId="1" applyFont="1" applyBorder="1" applyAlignment="1">
      <alignment wrapText="1"/>
    </xf>
    <xf numFmtId="0" fontId="38" fillId="0" borderId="1" xfId="0" applyFont="1" applyBorder="1" applyAlignment="1">
      <alignment vertical="center" wrapText="1"/>
    </xf>
    <xf numFmtId="0" fontId="41" fillId="0" borderId="1" xfId="1" applyFont="1" applyFill="1" applyBorder="1" applyAlignment="1">
      <alignment horizontal="left" vertical="top" wrapText="1"/>
    </xf>
    <xf numFmtId="0" fontId="15" fillId="0" borderId="1" xfId="1" applyFont="1" applyFill="1" applyBorder="1" applyAlignment="1">
      <alignment horizontal="left" vertical="center" wrapText="1"/>
    </xf>
    <xf numFmtId="0" fontId="38" fillId="0" borderId="1" xfId="0" applyFont="1" applyBorder="1" applyAlignment="1">
      <alignment horizontal="center" wrapText="1"/>
    </xf>
    <xf numFmtId="0" fontId="44" fillId="0" borderId="1" xfId="0" applyFont="1" applyBorder="1"/>
    <xf numFmtId="0" fontId="13" fillId="0" borderId="10" xfId="0" applyFont="1" applyFill="1" applyBorder="1" applyAlignment="1">
      <alignment horizontal="left" vertical="center" wrapText="1"/>
    </xf>
    <xf numFmtId="0" fontId="14" fillId="0" borderId="7" xfId="0" applyFont="1" applyFill="1" applyBorder="1" applyAlignment="1">
      <alignment horizontal="left" vertical="center" wrapText="1"/>
    </xf>
    <xf numFmtId="0" fontId="15" fillId="0" borderId="0" xfId="0" applyFont="1" applyFill="1" applyBorder="1"/>
    <xf numFmtId="0" fontId="38" fillId="0" borderId="1" xfId="0" applyFont="1" applyBorder="1" applyAlignment="1">
      <alignment vertical="center"/>
    </xf>
    <xf numFmtId="0" fontId="38" fillId="0" borderId="1" xfId="0" applyFont="1" applyBorder="1" applyAlignment="1">
      <alignment vertical="top" wrapText="1"/>
    </xf>
    <xf numFmtId="0" fontId="47" fillId="0" borderId="1" xfId="0" applyFont="1" applyFill="1" applyBorder="1" applyAlignment="1">
      <alignment horizontal="left" vertical="center" wrapText="1"/>
    </xf>
    <xf numFmtId="0" fontId="43" fillId="0" borderId="1" xfId="0" applyFont="1" applyBorder="1" applyAlignment="1">
      <alignment wrapText="1"/>
    </xf>
    <xf numFmtId="0" fontId="38" fillId="0" borderId="1" xfId="0" applyFont="1" applyBorder="1" applyAlignment="1">
      <alignment horizontal="center" vertical="center" wrapText="1"/>
    </xf>
    <xf numFmtId="0" fontId="38" fillId="0" borderId="1" xfId="0" applyFont="1" applyBorder="1" applyAlignment="1">
      <alignment horizontal="center"/>
    </xf>
    <xf numFmtId="0" fontId="3" fillId="0" borderId="1" xfId="1" applyBorder="1" applyAlignment="1">
      <alignment wrapText="1"/>
    </xf>
    <xf numFmtId="0" fontId="32" fillId="0" borderId="0" xfId="0" applyFont="1" applyAlignment="1">
      <alignment horizontal="center"/>
    </xf>
    <xf numFmtId="0" fontId="37" fillId="0" borderId="1" xfId="0" applyFont="1" applyFill="1" applyBorder="1" applyAlignment="1">
      <alignment horizontal="center" vertical="center" wrapText="1"/>
    </xf>
    <xf numFmtId="0" fontId="38" fillId="0" borderId="21" xfId="0" applyFont="1" applyBorder="1"/>
    <xf numFmtId="0" fontId="47" fillId="0" borderId="21" xfId="0" applyFont="1" applyFill="1" applyBorder="1" applyAlignment="1">
      <alignment horizontal="left" vertical="center" wrapText="1"/>
    </xf>
    <xf numFmtId="0" fontId="38" fillId="0" borderId="21" xfId="0" applyFont="1" applyBorder="1" applyAlignment="1">
      <alignment wrapText="1"/>
    </xf>
    <xf numFmtId="0" fontId="33" fillId="0" borderId="24" xfId="0" applyFont="1" applyBorder="1" applyAlignment="1">
      <alignment vertical="center" wrapText="1"/>
    </xf>
    <xf numFmtId="0" fontId="37" fillId="0" borderId="21" xfId="0" applyFont="1" applyFill="1" applyBorder="1" applyAlignment="1">
      <alignment vertical="center" wrapText="1"/>
    </xf>
    <xf numFmtId="0" fontId="15" fillId="0" borderId="21" xfId="0" applyFont="1" applyFill="1" applyBorder="1" applyAlignment="1">
      <alignment horizontal="left" vertical="center" wrapText="1"/>
    </xf>
    <xf numFmtId="0" fontId="38" fillId="0" borderId="21" xfId="0" applyFont="1" applyBorder="1" applyAlignment="1">
      <alignment vertical="center" wrapText="1"/>
    </xf>
    <xf numFmtId="0" fontId="38" fillId="0" borderId="21" xfId="0" applyFont="1" applyBorder="1" applyAlignment="1">
      <alignment horizontal="center" wrapText="1"/>
    </xf>
    <xf numFmtId="0" fontId="44" fillId="0" borderId="21" xfId="0" applyFont="1" applyBorder="1"/>
    <xf numFmtId="0" fontId="35" fillId="0" borderId="21" xfId="0" applyFont="1" applyBorder="1"/>
    <xf numFmtId="0" fontId="33" fillId="0" borderId="28" xfId="0" applyFont="1" applyBorder="1" applyAlignment="1">
      <alignment vertical="center" wrapText="1"/>
    </xf>
    <xf numFmtId="0" fontId="0" fillId="0" borderId="29" xfId="0" applyBorder="1"/>
    <xf numFmtId="0" fontId="0" fillId="0" borderId="30" xfId="0" applyBorder="1"/>
    <xf numFmtId="0" fontId="47" fillId="0" borderId="1" xfId="0" applyFont="1" applyFill="1" applyBorder="1" applyAlignment="1">
      <alignment horizontal="left" vertical="top" wrapText="1"/>
    </xf>
    <xf numFmtId="0" fontId="45" fillId="0" borderId="1" xfId="0" applyFont="1" applyBorder="1" applyAlignment="1">
      <alignment vertical="center" wrapText="1"/>
    </xf>
    <xf numFmtId="14" fontId="38" fillId="0" borderId="1" xfId="0" applyNumberFormat="1" applyFont="1" applyBorder="1" applyAlignment="1">
      <alignment horizontal="center"/>
    </xf>
    <xf numFmtId="0" fontId="42" fillId="0" borderId="1" xfId="1" applyFont="1" applyFill="1" applyBorder="1" applyAlignment="1">
      <alignment horizontal="left" vertical="top" wrapText="1"/>
    </xf>
    <xf numFmtId="0" fontId="33" fillId="0" borderId="24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top" wrapText="1"/>
    </xf>
    <xf numFmtId="14" fontId="38" fillId="0" borderId="1" xfId="0" applyNumberFormat="1" applyFont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35" fillId="0" borderId="1" xfId="0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48" fillId="0" borderId="1" xfId="0" applyFont="1" applyBorder="1"/>
    <xf numFmtId="14" fontId="48" fillId="0" borderId="1" xfId="0" applyNumberFormat="1" applyFont="1" applyBorder="1" applyAlignment="1">
      <alignment horizontal="right" vertical="center"/>
    </xf>
    <xf numFmtId="0" fontId="48" fillId="0" borderId="1" xfId="0" applyFont="1" applyBorder="1" applyAlignment="1">
      <alignment vertical="center" wrapText="1"/>
    </xf>
    <xf numFmtId="0" fontId="48" fillId="0" borderId="21" xfId="0" applyFont="1" applyBorder="1"/>
    <xf numFmtId="0" fontId="49" fillId="6" borderId="1" xfId="0" applyFont="1" applyFill="1" applyBorder="1" applyAlignment="1">
      <alignment vertical="center" wrapText="1"/>
    </xf>
    <xf numFmtId="0" fontId="48" fillId="0" borderId="1" xfId="0" applyFont="1" applyBorder="1" applyAlignment="1">
      <alignment horizontal="center" vertical="center" wrapText="1"/>
    </xf>
    <xf numFmtId="0" fontId="48" fillId="0" borderId="1" xfId="0" applyFont="1" applyBorder="1" applyAlignment="1">
      <alignment horizontal="center" wrapText="1"/>
    </xf>
    <xf numFmtId="0" fontId="49" fillId="0" borderId="1" xfId="0" applyFont="1" applyBorder="1" applyAlignment="1">
      <alignment vertical="center" wrapText="1"/>
    </xf>
    <xf numFmtId="0" fontId="0" fillId="0" borderId="21" xfId="0" applyBorder="1"/>
    <xf numFmtId="0" fontId="15" fillId="0" borderId="1" xfId="0" applyFont="1" applyBorder="1" applyAlignment="1">
      <alignment vertical="center" wrapText="1"/>
    </xf>
    <xf numFmtId="0" fontId="3" fillId="0" borderId="1" xfId="1" applyFill="1" applyBorder="1" applyAlignment="1">
      <alignment horizontal="left" vertical="center" wrapText="1"/>
    </xf>
    <xf numFmtId="0" fontId="20" fillId="0" borderId="1" xfId="1" applyFont="1" applyFill="1" applyBorder="1" applyAlignment="1">
      <alignment horizontal="left" vertical="center" wrapText="1"/>
    </xf>
    <xf numFmtId="0" fontId="33" fillId="0" borderId="24" xfId="0" applyFont="1" applyBorder="1" applyAlignment="1">
      <alignment horizontal="center" vertical="center" wrapText="1"/>
    </xf>
    <xf numFmtId="0" fontId="49" fillId="0" borderId="24" xfId="0" applyFont="1" applyBorder="1" applyAlignment="1">
      <alignment horizontal="center" vertical="center" wrapText="1"/>
    </xf>
    <xf numFmtId="0" fontId="46" fillId="0" borderId="1" xfId="0" applyFont="1" applyBorder="1" applyAlignment="1">
      <alignment vertical="center" wrapText="1"/>
    </xf>
    <xf numFmtId="0" fontId="26" fillId="0" borderId="15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/>
    </xf>
    <xf numFmtId="0" fontId="7" fillId="0" borderId="16" xfId="0" applyFont="1" applyFill="1" applyBorder="1" applyAlignment="1">
      <alignment horizontal="center" vertical="center"/>
    </xf>
    <xf numFmtId="0" fontId="7" fillId="0" borderId="17" xfId="0" applyFont="1" applyFill="1" applyBorder="1" applyAlignment="1">
      <alignment horizontal="center" vertical="center"/>
    </xf>
    <xf numFmtId="0" fontId="25" fillId="0" borderId="19" xfId="1" applyFont="1" applyBorder="1" applyAlignment="1">
      <alignment horizontal="center"/>
    </xf>
    <xf numFmtId="0" fontId="25" fillId="0" borderId="20" xfId="1" applyFont="1" applyBorder="1" applyAlignment="1">
      <alignment horizontal="center"/>
    </xf>
    <xf numFmtId="0" fontId="7" fillId="0" borderId="9" xfId="0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26" fillId="0" borderId="14" xfId="0" applyFont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left" vertical="center" wrapText="1"/>
    </xf>
    <xf numFmtId="0" fontId="23" fillId="0" borderId="9" xfId="0" applyFont="1" applyFill="1" applyBorder="1" applyAlignment="1">
      <alignment horizontal="center" vertical="center" wrapText="1"/>
    </xf>
    <xf numFmtId="0" fontId="23" fillId="0" borderId="10" xfId="0" applyFont="1" applyFill="1" applyBorder="1" applyAlignment="1">
      <alignment horizontal="center" vertical="center" wrapText="1"/>
    </xf>
    <xf numFmtId="0" fontId="34" fillId="0" borderId="9" xfId="0" applyFont="1" applyFill="1" applyBorder="1" applyAlignment="1">
      <alignment horizontal="center" vertical="center" wrapText="1"/>
    </xf>
    <xf numFmtId="0" fontId="34" fillId="0" borderId="10" xfId="0" applyFont="1" applyFill="1" applyBorder="1" applyAlignment="1">
      <alignment horizontal="center" vertical="center" wrapText="1"/>
    </xf>
    <xf numFmtId="0" fontId="32" fillId="0" borderId="0" xfId="0" applyFont="1" applyAlignment="1">
      <alignment horizontal="center"/>
    </xf>
    <xf numFmtId="0" fontId="32" fillId="0" borderId="35" xfId="0" applyFont="1" applyBorder="1" applyAlignment="1">
      <alignment horizontal="center" vertical="center" wrapText="1"/>
    </xf>
    <xf numFmtId="0" fontId="32" fillId="0" borderId="23" xfId="0" applyFont="1" applyBorder="1" applyAlignment="1">
      <alignment horizontal="center" vertical="center" wrapText="1"/>
    </xf>
    <xf numFmtId="0" fontId="36" fillId="0" borderId="32" xfId="0" applyFont="1" applyFill="1" applyBorder="1" applyAlignment="1">
      <alignment horizontal="center" vertical="center" wrapText="1"/>
    </xf>
    <xf numFmtId="0" fontId="36" fillId="0" borderId="10" xfId="0" applyFont="1" applyFill="1" applyBorder="1" applyAlignment="1">
      <alignment horizontal="center" vertical="center" wrapText="1"/>
    </xf>
    <xf numFmtId="0" fontId="36" fillId="0" borderId="32" xfId="0" applyFont="1" applyBorder="1" applyAlignment="1">
      <alignment horizontal="center" vertical="center" wrapText="1"/>
    </xf>
    <xf numFmtId="0" fontId="36" fillId="0" borderId="10" xfId="0" applyFont="1" applyBorder="1" applyAlignment="1">
      <alignment horizontal="center" vertical="center" wrapText="1"/>
    </xf>
    <xf numFmtId="0" fontId="38" fillId="0" borderId="32" xfId="0" applyFont="1" applyBorder="1" applyAlignment="1">
      <alignment horizontal="center" vertical="center" wrapText="1"/>
    </xf>
    <xf numFmtId="0" fontId="38" fillId="0" borderId="10" xfId="0" applyFont="1" applyBorder="1" applyAlignment="1">
      <alignment horizontal="center" vertical="center" wrapText="1"/>
    </xf>
    <xf numFmtId="0" fontId="37" fillId="0" borderId="32" xfId="0" applyFont="1" applyFill="1" applyBorder="1" applyAlignment="1">
      <alignment horizontal="center" vertical="center" wrapText="1"/>
    </xf>
    <xf numFmtId="0" fontId="37" fillId="0" borderId="10" xfId="0" applyFont="1" applyFill="1" applyBorder="1" applyAlignment="1">
      <alignment horizontal="center" vertical="center" wrapText="1"/>
    </xf>
    <xf numFmtId="0" fontId="37" fillId="0" borderId="31" xfId="0" applyFont="1" applyFill="1" applyBorder="1" applyAlignment="1">
      <alignment horizontal="center" vertical="center" wrapText="1"/>
    </xf>
    <xf numFmtId="0" fontId="37" fillId="0" borderId="22" xfId="0" applyFont="1" applyFill="1" applyBorder="1" applyAlignment="1">
      <alignment horizontal="center" vertical="center" wrapText="1"/>
    </xf>
    <xf numFmtId="0" fontId="37" fillId="0" borderId="33" xfId="0" applyFont="1" applyFill="1" applyBorder="1" applyAlignment="1">
      <alignment horizontal="center" vertical="center" wrapText="1"/>
    </xf>
    <xf numFmtId="0" fontId="37" fillId="0" borderId="3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3" fillId="0" borderId="0" xfId="0" applyFont="1" applyAlignment="1">
      <alignment horizontal="center"/>
    </xf>
  </cellXfs>
  <cellStyles count="4">
    <cellStyle name="Hiperligação 2" xfId="3"/>
    <cellStyle name="Hiperlink" xfId="1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739588</xdr:colOff>
      <xdr:row>0</xdr:row>
      <xdr:rowOff>43644</xdr:rowOff>
    </xdr:from>
    <xdr:to>
      <xdr:col>9</xdr:col>
      <xdr:colOff>1546411</xdr:colOff>
      <xdr:row>5</xdr:row>
      <xdr:rowOff>162177</xdr:rowOff>
    </xdr:to>
    <xdr:sp macro="" textlink="">
      <xdr:nvSpPr>
        <xdr:cNvPr id="3" name="Rectângulo 1"/>
        <xdr:cNvSpPr/>
      </xdr:nvSpPr>
      <xdr:spPr>
        <a:xfrm>
          <a:off x="14769353" y="43644"/>
          <a:ext cx="2140323" cy="1183092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Arial Narrow" panose="020B0606020202030204" pitchFamily="34" charset="0"/>
              <a:cs typeface="Times New Roman" panose="02020603050405020304" pitchFamily="18" charset="0"/>
            </a:rPr>
            <a:t>VISTO</a:t>
          </a:r>
        </a:p>
        <a:p>
          <a:pPr algn="ctr"/>
          <a:r>
            <a:rPr lang="en-US" sz="11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Times New Roman" panose="02020603050405020304" pitchFamily="18" charset="0"/>
            </a:rPr>
            <a:t>O DIRECTOR DO GABINETE</a:t>
          </a:r>
          <a:endParaRPr lang="en-US" sz="1100">
            <a:solidFill>
              <a:sysClr val="windowText" lastClr="000000"/>
            </a:solidFill>
            <a:latin typeface="Arial Narrow" panose="020B0606020202030204" pitchFamily="34" charset="0"/>
            <a:cs typeface="Times New Roman" panose="02020603050405020304" pitchFamily="18" charset="0"/>
          </a:endParaRPr>
        </a:p>
        <a:p>
          <a:pPr algn="ctr"/>
          <a:endParaRPr lang="en-US" sz="1100">
            <a:solidFill>
              <a:sysClr val="windowText" lastClr="000000"/>
            </a:solidFill>
            <a:latin typeface="Arial Narrow" panose="020B0606020202030204" pitchFamily="34" charset="0"/>
            <a:cs typeface="Times New Roman" panose="02020603050405020304" pitchFamily="18" charset="0"/>
          </a:endParaRPr>
        </a:p>
        <a:p>
          <a:pPr algn="ctr"/>
          <a:r>
            <a:rPr lang="en-US" sz="1100">
              <a:solidFill>
                <a:sysClr val="windowText" lastClr="000000"/>
              </a:solidFill>
              <a:latin typeface="Arial Narrow" panose="020B0606020202030204" pitchFamily="34" charset="0"/>
              <a:cs typeface="Times New Roman" panose="02020603050405020304" pitchFamily="18" charset="0"/>
            </a:rPr>
            <a:t>__________________________</a:t>
          </a:r>
        </a:p>
        <a:p>
          <a:pPr algn="ctr"/>
          <a:r>
            <a:rPr lang="en-US" sz="1100" b="1">
              <a:solidFill>
                <a:sysClr val="windowText" lastClr="000000"/>
              </a:solidFill>
              <a:latin typeface="Arial Narrow" panose="020B0606020202030204" pitchFamily="34" charset="0"/>
              <a:cs typeface="Times New Roman" panose="02020603050405020304" pitchFamily="18" charset="0"/>
            </a:rPr>
            <a:t>Eduardo António Faria Macário</a:t>
          </a:r>
        </a:p>
        <a:p>
          <a:pPr algn="ctr"/>
          <a:r>
            <a:rPr lang="en-US" sz="1100" b="0">
              <a:solidFill>
                <a:sysClr val="windowText" lastClr="000000"/>
              </a:solidFill>
              <a:latin typeface="Arial Narrow" panose="020B0606020202030204" pitchFamily="34" charset="0"/>
              <a:cs typeface="Times New Roman" panose="02020603050405020304" pitchFamily="18" charset="0"/>
            </a:rPr>
            <a:t>(</a:t>
          </a:r>
          <a:r>
            <a:rPr lang="en-US" sz="1100" b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Times New Roman" panose="02020603050405020304" pitchFamily="18" charset="0"/>
            </a:rPr>
            <a:t>Especialista de Educação</a:t>
          </a:r>
          <a:r>
            <a:rPr lang="en-US" sz="1100" b="0" baseline="0">
              <a:solidFill>
                <a:sysClr val="windowText" lastClr="000000"/>
              </a:solidFill>
              <a:latin typeface="Arial Narrow" panose="020B0606020202030204" pitchFamily="34" charset="0"/>
              <a:cs typeface="Times New Roman" panose="02020603050405020304" pitchFamily="18" charset="0"/>
            </a:rPr>
            <a:t>)</a:t>
          </a:r>
          <a:endParaRPr lang="en-US" sz="1100" b="0">
            <a:solidFill>
              <a:sysClr val="windowText" lastClr="000000"/>
            </a:solidFill>
            <a:latin typeface="Arial Narrow" panose="020B0606020202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5</xdr:col>
      <xdr:colOff>3372099</xdr:colOff>
      <xdr:row>0</xdr:row>
      <xdr:rowOff>143246</xdr:rowOff>
    </xdr:from>
    <xdr:to>
      <xdr:col>5</xdr:col>
      <xdr:colOff>4121503</xdr:colOff>
      <xdr:row>4</xdr:row>
      <xdr:rowOff>9623</xdr:rowOff>
    </xdr:to>
    <xdr:pic>
      <xdr:nvPicPr>
        <xdr:cNvPr id="4" name="Imagem 3" descr="download (1).png"/>
        <xdr:cNvPicPr/>
      </xdr:nvPicPr>
      <xdr:blipFill>
        <a:blip xmlns:r="http://schemas.openxmlformats.org/officeDocument/2006/relationships" r:embed="rId1"/>
        <a:srcRect l="26025" t="5664" r="28098" b="9946"/>
        <a:stretch>
          <a:fillRect/>
        </a:stretch>
      </xdr:blipFill>
      <xdr:spPr bwMode="auto">
        <a:xfrm>
          <a:off x="10576463" y="143246"/>
          <a:ext cx="749404" cy="697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14744700</xdr:colOff>
          <xdr:row>0</xdr:row>
          <xdr:rowOff>66675</xdr:rowOff>
        </xdr:from>
        <xdr:to>
          <xdr:col>6</xdr:col>
          <xdr:colOff>15754350</xdr:colOff>
          <xdr:row>3</xdr:row>
          <xdr:rowOff>180975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12</xdr:col>
      <xdr:colOff>1365221</xdr:colOff>
      <xdr:row>0</xdr:row>
      <xdr:rowOff>43643</xdr:rowOff>
    </xdr:from>
    <xdr:to>
      <xdr:col>14</xdr:col>
      <xdr:colOff>636434</xdr:colOff>
      <xdr:row>5</xdr:row>
      <xdr:rowOff>162176</xdr:rowOff>
    </xdr:to>
    <xdr:sp macro="" textlink="">
      <xdr:nvSpPr>
        <xdr:cNvPr id="3" name="Rectângulo 1"/>
        <xdr:cNvSpPr/>
      </xdr:nvSpPr>
      <xdr:spPr>
        <a:xfrm>
          <a:off x="19462721" y="43643"/>
          <a:ext cx="2147763" cy="1166283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Arial Narrow" panose="020B0606020202030204" pitchFamily="34" charset="0"/>
              <a:cs typeface="Times New Roman" panose="02020603050405020304" pitchFamily="18" charset="0"/>
            </a:rPr>
            <a:t>VISTO</a:t>
          </a:r>
        </a:p>
        <a:p>
          <a:pPr algn="ctr"/>
          <a:r>
            <a:rPr lang="en-US" sz="11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Times New Roman" panose="02020603050405020304" pitchFamily="18" charset="0"/>
            </a:rPr>
            <a:t>O DIRECTOR DO GABINETE</a:t>
          </a:r>
          <a:endParaRPr lang="en-US" sz="1100">
            <a:solidFill>
              <a:sysClr val="windowText" lastClr="000000"/>
            </a:solidFill>
            <a:latin typeface="Arial Narrow" panose="020B0606020202030204" pitchFamily="34" charset="0"/>
            <a:cs typeface="Times New Roman" panose="02020603050405020304" pitchFamily="18" charset="0"/>
          </a:endParaRPr>
        </a:p>
        <a:p>
          <a:pPr algn="ctr"/>
          <a:endParaRPr lang="en-US" sz="1100">
            <a:solidFill>
              <a:sysClr val="windowText" lastClr="000000"/>
            </a:solidFill>
            <a:latin typeface="Arial Narrow" panose="020B0606020202030204" pitchFamily="34" charset="0"/>
            <a:cs typeface="Times New Roman" panose="02020603050405020304" pitchFamily="18" charset="0"/>
          </a:endParaRPr>
        </a:p>
        <a:p>
          <a:pPr algn="ctr"/>
          <a:r>
            <a:rPr lang="en-US" sz="1100">
              <a:solidFill>
                <a:sysClr val="windowText" lastClr="000000"/>
              </a:solidFill>
              <a:latin typeface="Arial Narrow" panose="020B0606020202030204" pitchFamily="34" charset="0"/>
              <a:cs typeface="Times New Roman" panose="02020603050405020304" pitchFamily="18" charset="0"/>
            </a:rPr>
            <a:t>__________________________</a:t>
          </a:r>
        </a:p>
        <a:p>
          <a:pPr algn="ctr"/>
          <a:r>
            <a:rPr lang="en-US" sz="1100" b="1">
              <a:solidFill>
                <a:sysClr val="windowText" lastClr="000000"/>
              </a:solidFill>
              <a:latin typeface="Arial Narrow" panose="020B0606020202030204" pitchFamily="34" charset="0"/>
              <a:cs typeface="Times New Roman" panose="02020603050405020304" pitchFamily="18" charset="0"/>
            </a:rPr>
            <a:t>Eduardo António Faria Macário</a:t>
          </a:r>
        </a:p>
        <a:p>
          <a:pPr algn="ctr"/>
          <a:r>
            <a:rPr lang="en-US" sz="1100" b="0">
              <a:solidFill>
                <a:sysClr val="windowText" lastClr="000000"/>
              </a:solidFill>
              <a:latin typeface="Arial Narrow" panose="020B0606020202030204" pitchFamily="34" charset="0"/>
              <a:cs typeface="Times New Roman" panose="02020603050405020304" pitchFamily="18" charset="0"/>
            </a:rPr>
            <a:t>(</a:t>
          </a:r>
          <a:r>
            <a:rPr lang="en-US" sz="1100" b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Times New Roman" panose="02020603050405020304" pitchFamily="18" charset="0"/>
            </a:rPr>
            <a:t>Especialista de Educação</a:t>
          </a:r>
          <a:r>
            <a:rPr lang="en-US" sz="1100" b="0" baseline="0">
              <a:solidFill>
                <a:sysClr val="windowText" lastClr="000000"/>
              </a:solidFill>
              <a:latin typeface="Arial Narrow" panose="020B0606020202030204" pitchFamily="34" charset="0"/>
              <a:cs typeface="Times New Roman" panose="02020603050405020304" pitchFamily="18" charset="0"/>
            </a:rPr>
            <a:t>)</a:t>
          </a:r>
          <a:endParaRPr lang="en-US" sz="1100" b="0">
            <a:solidFill>
              <a:sysClr val="windowText" lastClr="000000"/>
            </a:solidFill>
            <a:latin typeface="Arial Narrow" panose="020B0606020202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7</xdr:col>
      <xdr:colOff>224518</xdr:colOff>
      <xdr:row>0</xdr:row>
      <xdr:rowOff>106136</xdr:rowOff>
    </xdr:from>
    <xdr:to>
      <xdr:col>7</xdr:col>
      <xdr:colOff>977924</xdr:colOff>
      <xdr:row>3</xdr:row>
      <xdr:rowOff>176621</xdr:rowOff>
    </xdr:to>
    <xdr:pic>
      <xdr:nvPicPr>
        <xdr:cNvPr id="4" name="Imagem 3" descr="download (1).png"/>
        <xdr:cNvPicPr/>
      </xdr:nvPicPr>
      <xdr:blipFill>
        <a:blip xmlns:r="http://schemas.openxmlformats.org/officeDocument/2006/relationships" r:embed="rId1"/>
        <a:srcRect l="26025" t="5664" r="28098" b="9946"/>
        <a:stretch>
          <a:fillRect/>
        </a:stretch>
      </xdr:blipFill>
      <xdr:spPr bwMode="auto">
        <a:xfrm>
          <a:off x="10674804" y="106136"/>
          <a:ext cx="753406" cy="6828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14744700</xdr:colOff>
          <xdr:row>0</xdr:row>
          <xdr:rowOff>66675</xdr:rowOff>
        </xdr:from>
        <xdr:to>
          <xdr:col>6</xdr:col>
          <xdr:colOff>15754350</xdr:colOff>
          <xdr:row>3</xdr:row>
          <xdr:rowOff>180975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12</xdr:col>
      <xdr:colOff>1365221</xdr:colOff>
      <xdr:row>0</xdr:row>
      <xdr:rowOff>43643</xdr:rowOff>
    </xdr:from>
    <xdr:to>
      <xdr:col>14</xdr:col>
      <xdr:colOff>636434</xdr:colOff>
      <xdr:row>5</xdr:row>
      <xdr:rowOff>162176</xdr:rowOff>
    </xdr:to>
    <xdr:sp macro="" textlink="">
      <xdr:nvSpPr>
        <xdr:cNvPr id="3" name="Rectângulo 1"/>
        <xdr:cNvSpPr/>
      </xdr:nvSpPr>
      <xdr:spPr>
        <a:xfrm>
          <a:off x="17688690" y="43643"/>
          <a:ext cx="2140619" cy="1190096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Arial Narrow" panose="020B0606020202030204" pitchFamily="34" charset="0"/>
              <a:cs typeface="Times New Roman" panose="02020603050405020304" pitchFamily="18" charset="0"/>
            </a:rPr>
            <a:t>VISTO</a:t>
          </a:r>
        </a:p>
        <a:p>
          <a:pPr algn="ctr"/>
          <a:r>
            <a:rPr lang="en-US" sz="11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Times New Roman" panose="02020603050405020304" pitchFamily="18" charset="0"/>
            </a:rPr>
            <a:t>O DIRECTOR DO GABINETE</a:t>
          </a:r>
          <a:endParaRPr lang="en-US" sz="1100">
            <a:solidFill>
              <a:sysClr val="windowText" lastClr="000000"/>
            </a:solidFill>
            <a:latin typeface="Arial Narrow" panose="020B0606020202030204" pitchFamily="34" charset="0"/>
            <a:cs typeface="Times New Roman" panose="02020603050405020304" pitchFamily="18" charset="0"/>
          </a:endParaRPr>
        </a:p>
        <a:p>
          <a:pPr algn="ctr"/>
          <a:endParaRPr lang="en-US" sz="1100">
            <a:solidFill>
              <a:sysClr val="windowText" lastClr="000000"/>
            </a:solidFill>
            <a:latin typeface="Arial Narrow" panose="020B0606020202030204" pitchFamily="34" charset="0"/>
            <a:cs typeface="Times New Roman" panose="02020603050405020304" pitchFamily="18" charset="0"/>
          </a:endParaRPr>
        </a:p>
        <a:p>
          <a:pPr algn="ctr"/>
          <a:r>
            <a:rPr lang="en-US" sz="1100">
              <a:solidFill>
                <a:sysClr val="windowText" lastClr="000000"/>
              </a:solidFill>
              <a:latin typeface="Arial Narrow" panose="020B0606020202030204" pitchFamily="34" charset="0"/>
              <a:cs typeface="Times New Roman" panose="02020603050405020304" pitchFamily="18" charset="0"/>
            </a:rPr>
            <a:t>__________________________</a:t>
          </a:r>
        </a:p>
        <a:p>
          <a:pPr algn="ctr"/>
          <a:r>
            <a:rPr lang="en-US" sz="1100" b="1">
              <a:solidFill>
                <a:sysClr val="windowText" lastClr="000000"/>
              </a:solidFill>
              <a:latin typeface="Arial Narrow" panose="020B0606020202030204" pitchFamily="34" charset="0"/>
              <a:cs typeface="Times New Roman" panose="02020603050405020304" pitchFamily="18" charset="0"/>
            </a:rPr>
            <a:t>Eduardo António Faria Macário</a:t>
          </a:r>
        </a:p>
        <a:p>
          <a:pPr algn="ctr"/>
          <a:r>
            <a:rPr lang="en-US" sz="1100" b="0">
              <a:solidFill>
                <a:sysClr val="windowText" lastClr="000000"/>
              </a:solidFill>
              <a:latin typeface="Arial Narrow" panose="020B0606020202030204" pitchFamily="34" charset="0"/>
              <a:cs typeface="Times New Roman" panose="02020603050405020304" pitchFamily="18" charset="0"/>
            </a:rPr>
            <a:t>(</a:t>
          </a:r>
          <a:r>
            <a:rPr lang="en-US" sz="1100" b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Times New Roman" panose="02020603050405020304" pitchFamily="18" charset="0"/>
            </a:rPr>
            <a:t>Especialista de Educação</a:t>
          </a:r>
          <a:r>
            <a:rPr lang="en-US" sz="1100" b="0" baseline="0">
              <a:solidFill>
                <a:sysClr val="windowText" lastClr="000000"/>
              </a:solidFill>
              <a:latin typeface="Arial Narrow" panose="020B0606020202030204" pitchFamily="34" charset="0"/>
              <a:cs typeface="Times New Roman" panose="02020603050405020304" pitchFamily="18" charset="0"/>
            </a:rPr>
            <a:t>)</a:t>
          </a:r>
          <a:endParaRPr lang="en-US" sz="1100" b="0">
            <a:solidFill>
              <a:sysClr val="windowText" lastClr="000000"/>
            </a:solidFill>
            <a:latin typeface="Arial Narrow" panose="020B0606020202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7</xdr:col>
      <xdr:colOff>404132</xdr:colOff>
      <xdr:row>0</xdr:row>
      <xdr:rowOff>146957</xdr:rowOff>
    </xdr:from>
    <xdr:to>
      <xdr:col>11</xdr:col>
      <xdr:colOff>753406</xdr:colOff>
      <xdr:row>4</xdr:row>
      <xdr:rowOff>13334</xdr:rowOff>
    </xdr:to>
    <xdr:pic>
      <xdr:nvPicPr>
        <xdr:cNvPr id="4" name="Imagem 3" descr="download (1).png"/>
        <xdr:cNvPicPr/>
      </xdr:nvPicPr>
      <xdr:blipFill>
        <a:blip xmlns:r="http://schemas.openxmlformats.org/officeDocument/2006/relationships" r:embed="rId1"/>
        <a:srcRect l="26025" t="5664" r="28098" b="9946"/>
        <a:stretch>
          <a:fillRect/>
        </a:stretch>
      </xdr:blipFill>
      <xdr:spPr bwMode="auto">
        <a:xfrm>
          <a:off x="10799989" y="146957"/>
          <a:ext cx="753406" cy="6828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332961</xdr:colOff>
      <xdr:row>0</xdr:row>
      <xdr:rowOff>0</xdr:rowOff>
    </xdr:from>
    <xdr:to>
      <xdr:col>5</xdr:col>
      <xdr:colOff>956858</xdr:colOff>
      <xdr:row>2</xdr:row>
      <xdr:rowOff>125196</xdr:rowOff>
    </xdr:to>
    <xdr:pic>
      <xdr:nvPicPr>
        <xdr:cNvPr id="2" name="Imagem 1" descr="download (1).png"/>
        <xdr:cNvPicPr/>
      </xdr:nvPicPr>
      <xdr:blipFill>
        <a:blip xmlns:r="http://schemas.openxmlformats.org/officeDocument/2006/relationships" r:embed="rId1"/>
        <a:srcRect l="26025" t="5664" r="28098" b="9946"/>
        <a:stretch>
          <a:fillRect/>
        </a:stretch>
      </xdr:blipFill>
      <xdr:spPr bwMode="auto">
        <a:xfrm>
          <a:off x="7457661" y="0"/>
          <a:ext cx="623897" cy="50619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124558</xdr:colOff>
      <xdr:row>0</xdr:row>
      <xdr:rowOff>148980</xdr:rowOff>
    </xdr:from>
    <xdr:to>
      <xdr:col>11</xdr:col>
      <xdr:colOff>453048</xdr:colOff>
      <xdr:row>5</xdr:row>
      <xdr:rowOff>146637</xdr:rowOff>
    </xdr:to>
    <xdr:sp macro="" textlink="">
      <xdr:nvSpPr>
        <xdr:cNvPr id="3" name="Rectângulo 1"/>
        <xdr:cNvSpPr/>
      </xdr:nvSpPr>
      <xdr:spPr>
        <a:xfrm>
          <a:off x="8198827" y="148980"/>
          <a:ext cx="2050317" cy="964811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  <a:latin typeface="Arial Narrow" panose="020B0606020202030204" pitchFamily="34" charset="0"/>
              <a:cs typeface="Times New Roman" panose="02020603050405020304" pitchFamily="18" charset="0"/>
            </a:rPr>
            <a:t>VISTO</a:t>
          </a:r>
        </a:p>
        <a:p>
          <a:pPr algn="ctr"/>
          <a:r>
            <a:rPr lang="en-US" sz="11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Times New Roman" panose="02020603050405020304" pitchFamily="18" charset="0"/>
            </a:rPr>
            <a:t>O DIRECTOR DO GABINETE</a:t>
          </a:r>
          <a:endParaRPr lang="en-US" sz="1100">
            <a:solidFill>
              <a:sysClr val="windowText" lastClr="000000"/>
            </a:solidFill>
            <a:latin typeface="Arial Narrow" panose="020B0606020202030204" pitchFamily="34" charset="0"/>
            <a:cs typeface="Times New Roman" panose="02020603050405020304" pitchFamily="18" charset="0"/>
          </a:endParaRPr>
        </a:p>
        <a:p>
          <a:pPr algn="ctr"/>
          <a:endParaRPr lang="en-US" sz="1100">
            <a:solidFill>
              <a:sysClr val="windowText" lastClr="000000"/>
            </a:solidFill>
            <a:latin typeface="Arial Narrow" panose="020B0606020202030204" pitchFamily="34" charset="0"/>
            <a:cs typeface="Times New Roman" panose="02020603050405020304" pitchFamily="18" charset="0"/>
          </a:endParaRPr>
        </a:p>
        <a:p>
          <a:pPr algn="ctr"/>
          <a:r>
            <a:rPr lang="en-US" sz="1100">
              <a:solidFill>
                <a:sysClr val="windowText" lastClr="000000"/>
              </a:solidFill>
              <a:latin typeface="Arial Narrow" panose="020B0606020202030204" pitchFamily="34" charset="0"/>
              <a:cs typeface="Times New Roman" panose="02020603050405020304" pitchFamily="18" charset="0"/>
            </a:rPr>
            <a:t>__________________________</a:t>
          </a:r>
        </a:p>
        <a:p>
          <a:pPr algn="ctr"/>
          <a:r>
            <a:rPr lang="en-US" sz="1100" b="1">
              <a:solidFill>
                <a:sysClr val="windowText" lastClr="000000"/>
              </a:solidFill>
              <a:latin typeface="Arial Narrow" panose="020B0606020202030204" pitchFamily="34" charset="0"/>
              <a:cs typeface="Times New Roman" panose="02020603050405020304" pitchFamily="18" charset="0"/>
            </a:rPr>
            <a:t>António dos Santos</a:t>
          </a: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 Narrow" panose="020B0606020202030204" pitchFamily="34" charset="0"/>
              <a:cs typeface="Times New Roman" panose="02020603050405020304" pitchFamily="18" charset="0"/>
            </a:rPr>
            <a:t>António</a:t>
          </a:r>
          <a:endParaRPr lang="en-US" sz="1100" b="1">
            <a:solidFill>
              <a:sysClr val="windowText" lastClr="000000"/>
            </a:solidFill>
            <a:latin typeface="Arial Narrow" panose="020B0606020202030204" pitchFamily="34" charset="0"/>
            <a:cs typeface="Times New Roman" panose="02020603050405020304" pitchFamily="18" charset="0"/>
          </a:endParaRPr>
        </a:p>
        <a:p>
          <a:pPr algn="ctr"/>
          <a:r>
            <a:rPr lang="en-US" sz="1100" b="0">
              <a:solidFill>
                <a:sysClr val="windowText" lastClr="000000"/>
              </a:solidFill>
              <a:latin typeface="Arial Narrow" panose="020B0606020202030204" pitchFamily="34" charset="0"/>
              <a:cs typeface="Times New Roman" panose="02020603050405020304" pitchFamily="18" charset="0"/>
            </a:rPr>
            <a:t>(</a:t>
          </a:r>
          <a:r>
            <a:rPr lang="en-US" sz="1100" b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Times New Roman" panose="02020603050405020304" pitchFamily="18" charset="0"/>
            </a:rPr>
            <a:t>Especialista C</a:t>
          </a:r>
          <a:r>
            <a:rPr lang="en-US" sz="1100" b="0" baseline="0">
              <a:solidFill>
                <a:sysClr val="windowText" lastClr="000000"/>
              </a:solidFill>
              <a:latin typeface="Arial Narrow" panose="020B0606020202030204" pitchFamily="34" charset="0"/>
              <a:cs typeface="Times New Roman" panose="02020603050405020304" pitchFamily="18" charset="0"/>
            </a:rPr>
            <a:t>)</a:t>
          </a:r>
          <a:endParaRPr lang="en-US" sz="1100" b="0">
            <a:solidFill>
              <a:sysClr val="windowText" lastClr="000000"/>
            </a:solidFill>
            <a:latin typeface="Arial Narrow" panose="020B0606020202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jupce@yahoo.com.br" TargetMode="External"/><Relationship Id="rId3" Type="http://schemas.openxmlformats.org/officeDocument/2006/relationships/hyperlink" Target="mailto:Ajulsid2007@yahoo.com.br" TargetMode="External"/><Relationship Id="rId7" Type="http://schemas.openxmlformats.org/officeDocument/2006/relationships/hyperlink" Target="mailto:ajupce@yahoo.com.br" TargetMode="External"/><Relationship Id="rId12" Type="http://schemas.openxmlformats.org/officeDocument/2006/relationships/drawing" Target="../drawings/drawing1.xml"/><Relationship Id="rId2" Type="http://schemas.openxmlformats.org/officeDocument/2006/relationships/hyperlink" Target="mailto:jchabuca@pircom.org.mz" TargetMode="External"/><Relationship Id="rId1" Type="http://schemas.openxmlformats.org/officeDocument/2006/relationships/hyperlink" Target="mailto:joaocarlitosimbo@gmail.com" TargetMode="External"/><Relationship Id="rId6" Type="http://schemas.openxmlformats.org/officeDocument/2006/relationships/hyperlink" Target="mailto:filimajo20@gmail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Lucasmainatojaoa@gmail.com" TargetMode="External"/><Relationship Id="rId10" Type="http://schemas.openxmlformats.org/officeDocument/2006/relationships/hyperlink" Target="mailto:mightyanselmo@gmail.com" TargetMode="External"/><Relationship Id="rId4" Type="http://schemas.openxmlformats.org/officeDocument/2006/relationships/hyperlink" Target="mailto:inocenciomelo@hotmail.com" TargetMode="External"/><Relationship Id="rId9" Type="http://schemas.openxmlformats.org/officeDocument/2006/relationships/hyperlink" Target="mailto:ass.ajucre@gmail.com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msfocb-beiraps@brusels.msf.org" TargetMode="External"/><Relationship Id="rId18" Type="http://schemas.openxmlformats.org/officeDocument/2006/relationships/hyperlink" Target="mailto:moiambodaina@gmail.com" TargetMode="External"/><Relationship Id="rId26" Type="http://schemas.openxmlformats.org/officeDocument/2006/relationships/hyperlink" Target="mailto:rburny@hi-moz.org" TargetMode="External"/><Relationship Id="rId39" Type="http://schemas.openxmlformats.org/officeDocument/2006/relationships/hyperlink" Target="mailto:fcherene@fhi360.org" TargetMode="External"/><Relationship Id="rId21" Type="http://schemas.openxmlformats.org/officeDocument/2006/relationships/hyperlink" Target="mailto:jill.lovell@missioneducate.org" TargetMode="External"/><Relationship Id="rId34" Type="http://schemas.openxmlformats.org/officeDocument/2006/relationships/hyperlink" Target="mailto:z.zicai@light-for-the-world.org" TargetMode="External"/><Relationship Id="rId42" Type="http://schemas.openxmlformats.org/officeDocument/2006/relationships/hyperlink" Target="mailto:maputo@avsi.org" TargetMode="External"/><Relationship Id="rId47" Type="http://schemas.openxmlformats.org/officeDocument/2006/relationships/hyperlink" Target="mailto:elsamutemba@ccsaude.org.mz" TargetMode="External"/><Relationship Id="rId50" Type="http://schemas.openxmlformats.org/officeDocument/2006/relationships/hyperlink" Target="mailto:manuchobraga@gmail.com" TargetMode="External"/><Relationship Id="rId55" Type="http://schemas.openxmlformats.org/officeDocument/2006/relationships/hyperlink" Target="mailto:jzenebo23@gmail.com" TargetMode="External"/><Relationship Id="rId63" Type="http://schemas.openxmlformats.org/officeDocument/2006/relationships/hyperlink" Target="mailto:sheila.loonat@givedirectlyorg" TargetMode="External"/><Relationship Id="rId68" Type="http://schemas.openxmlformats.org/officeDocument/2006/relationships/drawing" Target="../drawings/drawing2.xml"/><Relationship Id="rId7" Type="http://schemas.openxmlformats.org/officeDocument/2006/relationships/hyperlink" Target="mailto:albertovasco1993@gmail.com/" TargetMode="External"/><Relationship Id="rId71" Type="http://schemas.openxmlformats.org/officeDocument/2006/relationships/image" Target="../media/image2.emf"/><Relationship Id="rId2" Type="http://schemas.openxmlformats.org/officeDocument/2006/relationships/hyperlink" Target="mailto:falberto@aifomoz.org" TargetMode="External"/><Relationship Id="rId16" Type="http://schemas.openxmlformats.org/officeDocument/2006/relationships/hyperlink" Target="mailto:fc.tiagocoucelo@gmail.com" TargetMode="External"/><Relationship Id="rId29" Type="http://schemas.openxmlformats.org/officeDocument/2006/relationships/hyperlink" Target="mailto:ifdcmozmbique@ifdc.or" TargetMode="External"/><Relationship Id="rId1" Type="http://schemas.openxmlformats.org/officeDocument/2006/relationships/hyperlink" Target="mailto:mutemba@repssi.org" TargetMode="External"/><Relationship Id="rId6" Type="http://schemas.openxmlformats.org/officeDocument/2006/relationships/hyperlink" Target="mailto:cesvi@cesvi.org" TargetMode="External"/><Relationship Id="rId11" Type="http://schemas.openxmlformats.org/officeDocument/2006/relationships/hyperlink" Target="mailto:famucanse@gainhealth.org" TargetMode="External"/><Relationship Id="rId24" Type="http://schemas.openxmlformats.org/officeDocument/2006/relationships/hyperlink" Target="mailto:c.fumagalli@tdhitaly.org" TargetMode="External"/><Relationship Id="rId32" Type="http://schemas.openxmlformats.org/officeDocument/2006/relationships/hyperlink" Target="mailto:salomaodavid71@gmail.com" TargetMode="External"/><Relationship Id="rId37" Type="http://schemas.openxmlformats.org/officeDocument/2006/relationships/hyperlink" Target="mailto:a.sadia@cuamm.org/d.daniel@cuamm.org" TargetMode="External"/><Relationship Id="rId40" Type="http://schemas.openxmlformats.org/officeDocument/2006/relationships/hyperlink" Target="http://www.ideglobal.org/" TargetMode="External"/><Relationship Id="rId45" Type="http://schemas.openxmlformats.org/officeDocument/2006/relationships/hyperlink" Target="mailto:edgar.jone@tearfund.org" TargetMode="External"/><Relationship Id="rId53" Type="http://schemas.openxmlformats.org/officeDocument/2006/relationships/hyperlink" Target="mailto:joaocarlitosimbo@gmail.com" TargetMode="External"/><Relationship Id="rId58" Type="http://schemas.openxmlformats.org/officeDocument/2006/relationships/hyperlink" Target="mailto:william@voxunited.org" TargetMode="External"/><Relationship Id="rId66" Type="http://schemas.openxmlformats.org/officeDocument/2006/relationships/hyperlink" Target="mailto:mozambique.@peace-winds.org" TargetMode="External"/><Relationship Id="rId5" Type="http://schemas.openxmlformats.org/officeDocument/2006/relationships/hyperlink" Target="mailto:anna.turco@mcefamoz.org" TargetMode="External"/><Relationship Id="rId15" Type="http://schemas.openxmlformats.org/officeDocument/2006/relationships/hyperlink" Target="mailto:consorciochimoio@cies.it" TargetMode="External"/><Relationship Id="rId23" Type="http://schemas.openxmlformats.org/officeDocument/2006/relationships/hyperlink" Target="mailto:adriana.santos@jhpiego.org" TargetMode="External"/><Relationship Id="rId28" Type="http://schemas.openxmlformats.org/officeDocument/2006/relationships/hyperlink" Target="mailto:sussaca@afap-partnership.org" TargetMode="External"/><Relationship Id="rId36" Type="http://schemas.openxmlformats.org/officeDocument/2006/relationships/hyperlink" Target="mailto:Desoberano@fhi360,org" TargetMode="External"/><Relationship Id="rId49" Type="http://schemas.openxmlformats.org/officeDocument/2006/relationships/hyperlink" Target="mailto:patricedga@gmail.com" TargetMode="External"/><Relationship Id="rId57" Type="http://schemas.openxmlformats.org/officeDocument/2006/relationships/hyperlink" Target="mailto:ldacambane@ifpimozambique.org/" TargetMode="External"/><Relationship Id="rId61" Type="http://schemas.openxmlformats.org/officeDocument/2006/relationships/hyperlink" Target="mailto:nataliafilimone@gmail.com" TargetMode="External"/><Relationship Id="rId10" Type="http://schemas.openxmlformats.org/officeDocument/2006/relationships/hyperlink" Target="mailto:mo&#231;ambique@cesvistem.it" TargetMode="External"/><Relationship Id="rId19" Type="http://schemas.openxmlformats.org/officeDocument/2006/relationships/hyperlink" Target="mailto:jan.rietz@horizont3000.org/lydia.kummer@horizont3000.org" TargetMode="External"/><Relationship Id="rId31" Type="http://schemas.openxmlformats.org/officeDocument/2006/relationships/hyperlink" Target="mailto:teresa.preira@girlmove.org" TargetMode="External"/><Relationship Id="rId44" Type="http://schemas.openxmlformats.org/officeDocument/2006/relationships/hyperlink" Target="mailto:rodrigo.dereyes@gmail.com" TargetMode="External"/><Relationship Id="rId52" Type="http://schemas.openxmlformats.org/officeDocument/2006/relationships/hyperlink" Target="mailto:editecunhet@yahoo.com.br" TargetMode="External"/><Relationship Id="rId60" Type="http://schemas.openxmlformats.org/officeDocument/2006/relationships/hyperlink" Target="mailto:domingosmisasse@gmail.com" TargetMode="External"/><Relationship Id="rId65" Type="http://schemas.openxmlformats.org/officeDocument/2006/relationships/hyperlink" Target="mailto:ataca.moz@gmail.com" TargetMode="External"/><Relationship Id="rId4" Type="http://schemas.openxmlformats.org/officeDocument/2006/relationships/hyperlink" Target="mailto:generalinfo@psi.org.mz" TargetMode="External"/><Relationship Id="rId9" Type="http://schemas.openxmlformats.org/officeDocument/2006/relationships/hyperlink" Target="mailto:solfmpm@gmail.com" TargetMode="External"/><Relationship Id="rId14" Type="http://schemas.openxmlformats.org/officeDocument/2006/relationships/hyperlink" Target="mailto:mmboana@yahoo.com.br" TargetMode="External"/><Relationship Id="rId22" Type="http://schemas.openxmlformats.org/officeDocument/2006/relationships/hyperlink" Target="mailto:severiano@soscvs.org.mz" TargetMode="External"/><Relationship Id="rId27" Type="http://schemas.openxmlformats.org/officeDocument/2006/relationships/hyperlink" Target="mailto:ochauque@snvworld.org/oraciopedrochauque@gmail.com" TargetMode="External"/><Relationship Id="rId30" Type="http://schemas.openxmlformats.org/officeDocument/2006/relationships/hyperlink" Target="mailto:lehnertt81@hotmail.com" TargetMode="External"/><Relationship Id="rId35" Type="http://schemas.openxmlformats.org/officeDocument/2006/relationships/hyperlink" Target="mailto:ccs.sofala@gmail.com" TargetMode="External"/><Relationship Id="rId43" Type="http://schemas.openxmlformats.org/officeDocument/2006/relationships/hyperlink" Target="mailto:cathy.michel@healthallianceinternational.org" TargetMode="External"/><Relationship Id="rId48" Type="http://schemas.openxmlformats.org/officeDocument/2006/relationships/hyperlink" Target="mailto:julai.jone@consorciocam.org" TargetMode="External"/><Relationship Id="rId56" Type="http://schemas.openxmlformats.org/officeDocument/2006/relationships/hyperlink" Target="mailto:castigo.jorge@ada.gv.at" TargetMode="External"/><Relationship Id="rId64" Type="http://schemas.openxmlformats.org/officeDocument/2006/relationships/hyperlink" Target="mailto:essor.moz@gmail.com" TargetMode="External"/><Relationship Id="rId69" Type="http://schemas.openxmlformats.org/officeDocument/2006/relationships/vmlDrawing" Target="../drawings/vmlDrawing1.vml"/><Relationship Id="rId8" Type="http://schemas.openxmlformats.org/officeDocument/2006/relationships/hyperlink" Target="mailto:gisaiasluis@gmail.com" TargetMode="External"/><Relationship Id="rId51" Type="http://schemas.openxmlformats.org/officeDocument/2006/relationships/hyperlink" Target="mailto:M.Dias@cgiar.org" TargetMode="External"/><Relationship Id="rId3" Type="http://schemas.openxmlformats.org/officeDocument/2006/relationships/hyperlink" Target="mailto:gregorio.janeiro@villagereach.org" TargetMode="External"/><Relationship Id="rId12" Type="http://schemas.openxmlformats.org/officeDocument/2006/relationships/hyperlink" Target="mailto:samo.manhi&#231;a@amref.org" TargetMode="External"/><Relationship Id="rId17" Type="http://schemas.openxmlformats.org/officeDocument/2006/relationships/hyperlink" Target="mailto:mcunhaque@jhuccp.org.mz" TargetMode="External"/><Relationship Id="rId25" Type="http://schemas.openxmlformats.org/officeDocument/2006/relationships/hyperlink" Target="mailto:christina_stellini@worlded.org/%20bantwana.org" TargetMode="External"/><Relationship Id="rId33" Type="http://schemas.openxmlformats.org/officeDocument/2006/relationships/hyperlink" Target="mailto:mozambiquerep@mcc.org" TargetMode="External"/><Relationship Id="rId38" Type="http://schemas.openxmlformats.org/officeDocument/2006/relationships/hyperlink" Target="mailto:Cassiano.conjo@savethechildren.org" TargetMode="External"/><Relationship Id="rId46" Type="http://schemas.openxmlformats.org/officeDocument/2006/relationships/hyperlink" Target="mailto:ungumi@apoiar.org" TargetMode="External"/><Relationship Id="rId59" Type="http://schemas.openxmlformats.org/officeDocument/2006/relationships/hyperlink" Target="mailto:Eduardo.anibal@yahoo.com.br" TargetMode="External"/><Relationship Id="rId67" Type="http://schemas.openxmlformats.org/officeDocument/2006/relationships/printerSettings" Target="../printerSettings/printerSettings2.bin"/><Relationship Id="rId20" Type="http://schemas.openxmlformats.org/officeDocument/2006/relationships/hyperlink" Target="mailto:solidarmos@tdm.co.mz" TargetMode="External"/><Relationship Id="rId41" Type="http://schemas.openxmlformats.org/officeDocument/2006/relationships/hyperlink" Target="mailto:heldepires_07@yahoo.com.br" TargetMode="External"/><Relationship Id="rId54" Type="http://schemas.openxmlformats.org/officeDocument/2006/relationships/hyperlink" Target="mailto:osvaldoricardo5510@gmail.com" TargetMode="External"/><Relationship Id="rId62" Type="http://schemas.openxmlformats.org/officeDocument/2006/relationships/hyperlink" Target="mailto:jchabuca@pircom.org.mz" TargetMode="External"/><Relationship Id="rId70" Type="http://schemas.openxmlformats.org/officeDocument/2006/relationships/oleObject" Target="../embeddings/oleObject1.bin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mailto:msfocb-beiraps@brusels.msf.org" TargetMode="External"/><Relationship Id="rId18" Type="http://schemas.openxmlformats.org/officeDocument/2006/relationships/hyperlink" Target="mailto:moiambodaina@gmail.com" TargetMode="External"/><Relationship Id="rId26" Type="http://schemas.openxmlformats.org/officeDocument/2006/relationships/hyperlink" Target="mailto:rburny@hi-moz.org" TargetMode="External"/><Relationship Id="rId39" Type="http://schemas.openxmlformats.org/officeDocument/2006/relationships/hyperlink" Target="mailto:fcherene@fhi360.org" TargetMode="External"/><Relationship Id="rId21" Type="http://schemas.openxmlformats.org/officeDocument/2006/relationships/hyperlink" Target="mailto:jill.lovell@missioneducate.org" TargetMode="External"/><Relationship Id="rId34" Type="http://schemas.openxmlformats.org/officeDocument/2006/relationships/hyperlink" Target="mailto:z.zicai@light-for-the-world.org" TargetMode="External"/><Relationship Id="rId42" Type="http://schemas.openxmlformats.org/officeDocument/2006/relationships/hyperlink" Target="mailto:maputo@avsi.org" TargetMode="External"/><Relationship Id="rId47" Type="http://schemas.openxmlformats.org/officeDocument/2006/relationships/hyperlink" Target="mailto:elsamutemba@ccsaude.org.mz" TargetMode="External"/><Relationship Id="rId50" Type="http://schemas.openxmlformats.org/officeDocument/2006/relationships/hyperlink" Target="mailto:manuchobraga@gmail.com" TargetMode="External"/><Relationship Id="rId55" Type="http://schemas.openxmlformats.org/officeDocument/2006/relationships/hyperlink" Target="mailto:jzenebo23@gmail.com" TargetMode="External"/><Relationship Id="rId63" Type="http://schemas.openxmlformats.org/officeDocument/2006/relationships/hyperlink" Target="mailto:sheila.loonat@givedirectlyorg" TargetMode="External"/><Relationship Id="rId68" Type="http://schemas.openxmlformats.org/officeDocument/2006/relationships/drawing" Target="../drawings/drawing3.xml"/><Relationship Id="rId7" Type="http://schemas.openxmlformats.org/officeDocument/2006/relationships/hyperlink" Target="mailto:albertovasco1993@gmail.com/" TargetMode="External"/><Relationship Id="rId71" Type="http://schemas.openxmlformats.org/officeDocument/2006/relationships/image" Target="../media/image2.emf"/><Relationship Id="rId2" Type="http://schemas.openxmlformats.org/officeDocument/2006/relationships/hyperlink" Target="mailto:falberto@aifomoz.org" TargetMode="External"/><Relationship Id="rId16" Type="http://schemas.openxmlformats.org/officeDocument/2006/relationships/hyperlink" Target="mailto:fc.tiagocoucelo@gmail.com" TargetMode="External"/><Relationship Id="rId29" Type="http://schemas.openxmlformats.org/officeDocument/2006/relationships/hyperlink" Target="mailto:ifdcmozmbique@ifdc.or" TargetMode="External"/><Relationship Id="rId1" Type="http://schemas.openxmlformats.org/officeDocument/2006/relationships/hyperlink" Target="mailto:mutemba@repssi.org" TargetMode="External"/><Relationship Id="rId6" Type="http://schemas.openxmlformats.org/officeDocument/2006/relationships/hyperlink" Target="mailto:cesvi@cesvi.org" TargetMode="External"/><Relationship Id="rId11" Type="http://schemas.openxmlformats.org/officeDocument/2006/relationships/hyperlink" Target="mailto:famucanse@gainhealth.org" TargetMode="External"/><Relationship Id="rId24" Type="http://schemas.openxmlformats.org/officeDocument/2006/relationships/hyperlink" Target="mailto:c.fumagalli@tdhitaly.org" TargetMode="External"/><Relationship Id="rId32" Type="http://schemas.openxmlformats.org/officeDocument/2006/relationships/hyperlink" Target="mailto:salomaodavid71@gmail.com" TargetMode="External"/><Relationship Id="rId37" Type="http://schemas.openxmlformats.org/officeDocument/2006/relationships/hyperlink" Target="mailto:a.sadia@cuamm.org/d.daniel@cuamm.org" TargetMode="External"/><Relationship Id="rId40" Type="http://schemas.openxmlformats.org/officeDocument/2006/relationships/hyperlink" Target="http://www.ideglobal.org/" TargetMode="External"/><Relationship Id="rId45" Type="http://schemas.openxmlformats.org/officeDocument/2006/relationships/hyperlink" Target="mailto:edgar.jone@tearfund.org" TargetMode="External"/><Relationship Id="rId53" Type="http://schemas.openxmlformats.org/officeDocument/2006/relationships/hyperlink" Target="mailto:joaocarlitosimbo@gmail.com" TargetMode="External"/><Relationship Id="rId58" Type="http://schemas.openxmlformats.org/officeDocument/2006/relationships/hyperlink" Target="mailto:william@voxunited.org" TargetMode="External"/><Relationship Id="rId66" Type="http://schemas.openxmlformats.org/officeDocument/2006/relationships/hyperlink" Target="mailto:mozambique.@peace-winds.org" TargetMode="External"/><Relationship Id="rId5" Type="http://schemas.openxmlformats.org/officeDocument/2006/relationships/hyperlink" Target="mailto:anna.turco@mcefamoz.org" TargetMode="External"/><Relationship Id="rId15" Type="http://schemas.openxmlformats.org/officeDocument/2006/relationships/hyperlink" Target="mailto:consorciochimoio@cies.it" TargetMode="External"/><Relationship Id="rId23" Type="http://schemas.openxmlformats.org/officeDocument/2006/relationships/hyperlink" Target="mailto:adriana.santos@jhpiego.org" TargetMode="External"/><Relationship Id="rId28" Type="http://schemas.openxmlformats.org/officeDocument/2006/relationships/hyperlink" Target="mailto:sussaca@afap-partnership.org" TargetMode="External"/><Relationship Id="rId36" Type="http://schemas.openxmlformats.org/officeDocument/2006/relationships/hyperlink" Target="mailto:Desoberano@fhi360,org" TargetMode="External"/><Relationship Id="rId49" Type="http://schemas.openxmlformats.org/officeDocument/2006/relationships/hyperlink" Target="mailto:patricedga@gmail.com" TargetMode="External"/><Relationship Id="rId57" Type="http://schemas.openxmlformats.org/officeDocument/2006/relationships/hyperlink" Target="mailto:ldacambane@ifpimozambique.org/" TargetMode="External"/><Relationship Id="rId61" Type="http://schemas.openxmlformats.org/officeDocument/2006/relationships/hyperlink" Target="mailto:nataliafilimone@gmail.com" TargetMode="External"/><Relationship Id="rId10" Type="http://schemas.openxmlformats.org/officeDocument/2006/relationships/hyperlink" Target="mailto:mo&#231;ambique@cesvistem.it" TargetMode="External"/><Relationship Id="rId19" Type="http://schemas.openxmlformats.org/officeDocument/2006/relationships/hyperlink" Target="mailto:jan.rietz@horizont3000.org/lydia.kummer@horizont3000.org" TargetMode="External"/><Relationship Id="rId31" Type="http://schemas.openxmlformats.org/officeDocument/2006/relationships/hyperlink" Target="mailto:teresa.preira@girlmove.org" TargetMode="External"/><Relationship Id="rId44" Type="http://schemas.openxmlformats.org/officeDocument/2006/relationships/hyperlink" Target="mailto:rodrigo.dereyes@gmail.com" TargetMode="External"/><Relationship Id="rId52" Type="http://schemas.openxmlformats.org/officeDocument/2006/relationships/hyperlink" Target="mailto:editecunhet@yahoo.com.br" TargetMode="External"/><Relationship Id="rId60" Type="http://schemas.openxmlformats.org/officeDocument/2006/relationships/hyperlink" Target="mailto:domingosmisasse@gmail.com" TargetMode="External"/><Relationship Id="rId65" Type="http://schemas.openxmlformats.org/officeDocument/2006/relationships/hyperlink" Target="mailto:ataca.moz@gmail.com" TargetMode="External"/><Relationship Id="rId4" Type="http://schemas.openxmlformats.org/officeDocument/2006/relationships/hyperlink" Target="mailto:generalinfo@psi.org.mz" TargetMode="External"/><Relationship Id="rId9" Type="http://schemas.openxmlformats.org/officeDocument/2006/relationships/hyperlink" Target="mailto:solfmpm@gmail.com" TargetMode="External"/><Relationship Id="rId14" Type="http://schemas.openxmlformats.org/officeDocument/2006/relationships/hyperlink" Target="mailto:mmboana@yahoo.com.br" TargetMode="External"/><Relationship Id="rId22" Type="http://schemas.openxmlformats.org/officeDocument/2006/relationships/hyperlink" Target="mailto:severiano@soscvs.org.mz" TargetMode="External"/><Relationship Id="rId27" Type="http://schemas.openxmlformats.org/officeDocument/2006/relationships/hyperlink" Target="mailto:ochauque@snvworld.org/oraciopedrochauque@gmail.com" TargetMode="External"/><Relationship Id="rId30" Type="http://schemas.openxmlformats.org/officeDocument/2006/relationships/hyperlink" Target="mailto:lehnertt81@hotmail.com" TargetMode="External"/><Relationship Id="rId35" Type="http://schemas.openxmlformats.org/officeDocument/2006/relationships/hyperlink" Target="mailto:ccs.sofala@gmail.com" TargetMode="External"/><Relationship Id="rId43" Type="http://schemas.openxmlformats.org/officeDocument/2006/relationships/hyperlink" Target="mailto:cathy.michel@healthallianceinternational.org" TargetMode="External"/><Relationship Id="rId48" Type="http://schemas.openxmlformats.org/officeDocument/2006/relationships/hyperlink" Target="mailto:julai.jone@consorciocam.org" TargetMode="External"/><Relationship Id="rId56" Type="http://schemas.openxmlformats.org/officeDocument/2006/relationships/hyperlink" Target="mailto:castigo.jorge@ada.gv.at" TargetMode="External"/><Relationship Id="rId64" Type="http://schemas.openxmlformats.org/officeDocument/2006/relationships/hyperlink" Target="mailto:essor.moz@gmail.com" TargetMode="External"/><Relationship Id="rId69" Type="http://schemas.openxmlformats.org/officeDocument/2006/relationships/vmlDrawing" Target="../drawings/vmlDrawing2.vml"/><Relationship Id="rId8" Type="http://schemas.openxmlformats.org/officeDocument/2006/relationships/hyperlink" Target="mailto:gisaiasluis@gmail.com" TargetMode="External"/><Relationship Id="rId51" Type="http://schemas.openxmlformats.org/officeDocument/2006/relationships/hyperlink" Target="mailto:M.Dias@cgiar.org" TargetMode="External"/><Relationship Id="rId3" Type="http://schemas.openxmlformats.org/officeDocument/2006/relationships/hyperlink" Target="mailto:gregorio.janeiro@villagereach.org" TargetMode="External"/><Relationship Id="rId12" Type="http://schemas.openxmlformats.org/officeDocument/2006/relationships/hyperlink" Target="mailto:samo.manhi&#231;a@amref.org" TargetMode="External"/><Relationship Id="rId17" Type="http://schemas.openxmlformats.org/officeDocument/2006/relationships/hyperlink" Target="mailto:mcunhaque@jhuccp.org.mz" TargetMode="External"/><Relationship Id="rId25" Type="http://schemas.openxmlformats.org/officeDocument/2006/relationships/hyperlink" Target="mailto:christina_stellini@worlded.org/%20bantwana.org" TargetMode="External"/><Relationship Id="rId33" Type="http://schemas.openxmlformats.org/officeDocument/2006/relationships/hyperlink" Target="mailto:mozambiquerep@mcc.org" TargetMode="External"/><Relationship Id="rId38" Type="http://schemas.openxmlformats.org/officeDocument/2006/relationships/hyperlink" Target="mailto:Cassiano.conjo@savethechildren.org" TargetMode="External"/><Relationship Id="rId46" Type="http://schemas.openxmlformats.org/officeDocument/2006/relationships/hyperlink" Target="mailto:ungumi@apoiar.org" TargetMode="External"/><Relationship Id="rId59" Type="http://schemas.openxmlformats.org/officeDocument/2006/relationships/hyperlink" Target="mailto:Eduardo.anibal@yahoo.com.br" TargetMode="External"/><Relationship Id="rId67" Type="http://schemas.openxmlformats.org/officeDocument/2006/relationships/printerSettings" Target="../printerSettings/printerSettings3.bin"/><Relationship Id="rId20" Type="http://schemas.openxmlformats.org/officeDocument/2006/relationships/hyperlink" Target="mailto:solidarmos@tdm.co.mz" TargetMode="External"/><Relationship Id="rId41" Type="http://schemas.openxmlformats.org/officeDocument/2006/relationships/hyperlink" Target="mailto:heldepires_07@yahoo.com.br" TargetMode="External"/><Relationship Id="rId54" Type="http://schemas.openxmlformats.org/officeDocument/2006/relationships/hyperlink" Target="mailto:osvaldoricardo5510@gmail.com" TargetMode="External"/><Relationship Id="rId62" Type="http://schemas.openxmlformats.org/officeDocument/2006/relationships/hyperlink" Target="mailto:jchabuca@pircom.org.mz" TargetMode="External"/><Relationship Id="rId70" Type="http://schemas.openxmlformats.org/officeDocument/2006/relationships/oleObject" Target="../embeddings/oleObject2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mozambiquerep@mcc.org" TargetMode="External"/><Relationship Id="rId13" Type="http://schemas.openxmlformats.org/officeDocument/2006/relationships/hyperlink" Target="mailto:severiano@soscvs.org.mz" TargetMode="External"/><Relationship Id="rId18" Type="http://schemas.openxmlformats.org/officeDocument/2006/relationships/hyperlink" Target="mailto:rodrigo.dereyes@gmail.com" TargetMode="External"/><Relationship Id="rId26" Type="http://schemas.openxmlformats.org/officeDocument/2006/relationships/hyperlink" Target="mailto:ccs.sofala@gmail.com" TargetMode="External"/><Relationship Id="rId39" Type="http://schemas.openxmlformats.org/officeDocument/2006/relationships/printerSettings" Target="../printerSettings/printerSettings4.bin"/><Relationship Id="rId3" Type="http://schemas.openxmlformats.org/officeDocument/2006/relationships/hyperlink" Target="mailto:lmc@apoiar.org" TargetMode="External"/><Relationship Id="rId21" Type="http://schemas.openxmlformats.org/officeDocument/2006/relationships/hyperlink" Target="http://www.ideglobal.org/" TargetMode="External"/><Relationship Id="rId34" Type="http://schemas.openxmlformats.org/officeDocument/2006/relationships/hyperlink" Target="mailto:antoniobernardo95@gmail.com" TargetMode="External"/><Relationship Id="rId7" Type="http://schemas.openxmlformats.org/officeDocument/2006/relationships/hyperlink" Target="mailto:mozambique.@peace-winds.org" TargetMode="External"/><Relationship Id="rId12" Type="http://schemas.openxmlformats.org/officeDocument/2006/relationships/hyperlink" Target="mailto:cesvi@cesvi.org" TargetMode="External"/><Relationship Id="rId17" Type="http://schemas.openxmlformats.org/officeDocument/2006/relationships/hyperlink" Target="mailto:william@voxunited.org" TargetMode="External"/><Relationship Id="rId25" Type="http://schemas.openxmlformats.org/officeDocument/2006/relationships/hyperlink" Target="mailto:solfmpm@gmail.com" TargetMode="External"/><Relationship Id="rId33" Type="http://schemas.openxmlformats.org/officeDocument/2006/relationships/hyperlink" Target="mailto:A.Pangaia@forafrika.org" TargetMode="External"/><Relationship Id="rId38" Type="http://schemas.openxmlformats.org/officeDocument/2006/relationships/hyperlink" Target="mailto:j.dengane@tdhitaly.onmicrosoft.com" TargetMode="External"/><Relationship Id="rId2" Type="http://schemas.openxmlformats.org/officeDocument/2006/relationships/hyperlink" Target="mailto:jmucuapa@dvv-international.org.mz" TargetMode="External"/><Relationship Id="rId16" Type="http://schemas.openxmlformats.org/officeDocument/2006/relationships/hyperlink" Target="mailto:editecunhet@yahoo.com.br" TargetMode="External"/><Relationship Id="rId20" Type="http://schemas.openxmlformats.org/officeDocument/2006/relationships/hyperlink" Target="mailto:cefamozambico@cefaonlus.it" TargetMode="External"/><Relationship Id="rId29" Type="http://schemas.openxmlformats.org/officeDocument/2006/relationships/hyperlink" Target="mailto:ataca.moz@gmail.com" TargetMode="External"/><Relationship Id="rId1" Type="http://schemas.openxmlformats.org/officeDocument/2006/relationships/hyperlink" Target="mailto:p.muagona.21@malariaconsortium.org" TargetMode="External"/><Relationship Id="rId6" Type="http://schemas.openxmlformats.org/officeDocument/2006/relationships/hyperlink" Target="mailto:mutemba@repssi.org" TargetMode="External"/><Relationship Id="rId11" Type="http://schemas.openxmlformats.org/officeDocument/2006/relationships/hyperlink" Target="mailto:anna.turco@mcefamoz.org" TargetMode="External"/><Relationship Id="rId24" Type="http://schemas.openxmlformats.org/officeDocument/2006/relationships/hyperlink" Target="mailto:gisaiasluis@gmail.com" TargetMode="External"/><Relationship Id="rId32" Type="http://schemas.openxmlformats.org/officeDocument/2006/relationships/hyperlink" Target="mailto:Office.moz@thejohanniter.org" TargetMode="External"/><Relationship Id="rId37" Type="http://schemas.openxmlformats.org/officeDocument/2006/relationships/hyperlink" Target="mailto:Dininis.chembene@oikos.pt" TargetMode="External"/><Relationship Id="rId40" Type="http://schemas.openxmlformats.org/officeDocument/2006/relationships/drawing" Target="../drawings/drawing4.xml"/><Relationship Id="rId5" Type="http://schemas.openxmlformats.org/officeDocument/2006/relationships/hyperlink" Target="mailto:ochauque@snvworld.org/oraciopedrochauque@gmail.com" TargetMode="External"/><Relationship Id="rId15" Type="http://schemas.openxmlformats.org/officeDocument/2006/relationships/hyperlink" Target="mailto:essor.moz@gmail.com" TargetMode="External"/><Relationship Id="rId23" Type="http://schemas.openxmlformats.org/officeDocument/2006/relationships/hyperlink" Target="mailto:Eduardo.anibal@yahoo.com.br" TargetMode="External"/><Relationship Id="rId28" Type="http://schemas.openxmlformats.org/officeDocument/2006/relationships/hyperlink" Target="mailto:generalinfo@psi.org.mz" TargetMode="External"/><Relationship Id="rId36" Type="http://schemas.openxmlformats.org/officeDocument/2006/relationships/hyperlink" Target="mailto:resendetomo76@gmail.com" TargetMode="External"/><Relationship Id="rId10" Type="http://schemas.openxmlformats.org/officeDocument/2006/relationships/hyperlink" Target="mailto:ifdcmozmbique@ifdc.or" TargetMode="External"/><Relationship Id="rId19" Type="http://schemas.openxmlformats.org/officeDocument/2006/relationships/hyperlink" Target="mailto:maputo@avsi.org" TargetMode="External"/><Relationship Id="rId31" Type="http://schemas.openxmlformats.org/officeDocument/2006/relationships/hyperlink" Target="mailto:sussaca@afap-partnership.org" TargetMode="External"/><Relationship Id="rId4" Type="http://schemas.openxmlformats.org/officeDocument/2006/relationships/hyperlink" Target="mailto:Desoberano@fhi360,org" TargetMode="External"/><Relationship Id="rId9" Type="http://schemas.openxmlformats.org/officeDocument/2006/relationships/hyperlink" Target="mailto:msfocb-beiraps@brusels.msf.org" TargetMode="External"/><Relationship Id="rId14" Type="http://schemas.openxmlformats.org/officeDocument/2006/relationships/hyperlink" Target="mailto:julai.jone@consorciocam.org" TargetMode="External"/><Relationship Id="rId22" Type="http://schemas.openxmlformats.org/officeDocument/2006/relationships/hyperlink" Target="mailto:mmobaracaly@pathfinder.org" TargetMode="External"/><Relationship Id="rId27" Type="http://schemas.openxmlformats.org/officeDocument/2006/relationships/hyperlink" Target="mailto:escritorio.beira@horizont3000.org" TargetMode="External"/><Relationship Id="rId30" Type="http://schemas.openxmlformats.org/officeDocument/2006/relationships/hyperlink" Target="mailto:falberto@aifomoz.org" TargetMode="External"/><Relationship Id="rId35" Type="http://schemas.openxmlformats.org/officeDocument/2006/relationships/hyperlink" Target="mailto:celestinofombe@gma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5"/>
  <sheetViews>
    <sheetView view="pageBreakPreview" topLeftCell="C4" zoomScale="55" zoomScaleNormal="85" zoomScaleSheetLayoutView="55" workbookViewId="0">
      <pane ySplit="10" topLeftCell="A14" activePane="bottomLeft" state="frozen"/>
      <selection activeCell="C4" sqref="C4"/>
      <selection pane="bottomLeft" activeCell="G58" sqref="G58"/>
    </sheetView>
  </sheetViews>
  <sheetFormatPr defaultRowHeight="15"/>
  <cols>
    <col min="1" max="2" width="6.140625" style="1" hidden="1" customWidth="1"/>
    <col min="3" max="3" width="6.140625" style="8" customWidth="1"/>
    <col min="4" max="5" width="51" style="1" customWidth="1"/>
    <col min="6" max="6" width="84.5703125" style="1" customWidth="1"/>
    <col min="7" max="7" width="42.7109375" style="6" customWidth="1"/>
    <col min="8" max="8" width="28.28515625" style="6" customWidth="1"/>
    <col min="9" max="9" width="28.85546875" style="1" customWidth="1"/>
    <col min="10" max="10" width="36.7109375" style="1" customWidth="1"/>
    <col min="11" max="11" width="16.85546875" style="1" customWidth="1"/>
    <col min="12" max="16384" width="9.140625" style="1"/>
  </cols>
  <sheetData>
    <row r="1" spans="1:10" ht="16.5">
      <c r="A1" s="12"/>
      <c r="B1" s="12"/>
      <c r="C1" s="107"/>
      <c r="D1" s="12"/>
      <c r="E1" s="12"/>
      <c r="F1" s="12"/>
      <c r="G1" s="5"/>
      <c r="H1" s="5"/>
      <c r="I1" s="12"/>
      <c r="J1" s="12"/>
    </row>
    <row r="2" spans="1:10" ht="16.5">
      <c r="A2" s="231"/>
      <c r="B2" s="231"/>
      <c r="C2" s="231"/>
      <c r="D2" s="231"/>
      <c r="E2" s="231"/>
      <c r="F2" s="231"/>
      <c r="G2" s="231"/>
      <c r="H2" s="231"/>
      <c r="I2" s="231"/>
      <c r="J2" s="231"/>
    </row>
    <row r="3" spans="1:10" ht="16.5">
      <c r="A3" s="231"/>
      <c r="B3" s="231"/>
      <c r="C3" s="231"/>
      <c r="D3" s="231"/>
      <c r="E3" s="231"/>
      <c r="F3" s="231"/>
      <c r="G3" s="231"/>
      <c r="H3" s="231"/>
      <c r="I3" s="231"/>
      <c r="J3" s="231"/>
    </row>
    <row r="4" spans="1:10" ht="16.5">
      <c r="A4" s="231"/>
      <c r="B4" s="231"/>
      <c r="C4" s="231"/>
      <c r="D4" s="231"/>
      <c r="E4" s="231"/>
      <c r="F4" s="231"/>
      <c r="G4" s="231"/>
      <c r="H4" s="231"/>
      <c r="I4" s="231"/>
      <c r="J4" s="231"/>
    </row>
    <row r="5" spans="1:10" ht="16.5">
      <c r="A5" s="230" t="s">
        <v>0</v>
      </c>
      <c r="B5" s="230"/>
      <c r="C5" s="230"/>
      <c r="D5" s="230"/>
      <c r="E5" s="230"/>
      <c r="F5" s="230"/>
      <c r="G5" s="230"/>
      <c r="H5" s="230"/>
      <c r="I5" s="230"/>
      <c r="J5" s="230"/>
    </row>
    <row r="6" spans="1:10" ht="16.5">
      <c r="A6" s="230" t="s">
        <v>1</v>
      </c>
      <c r="B6" s="230"/>
      <c r="C6" s="230"/>
      <c r="D6" s="230"/>
      <c r="E6" s="230"/>
      <c r="F6" s="230"/>
      <c r="G6" s="230"/>
      <c r="H6" s="230"/>
      <c r="I6" s="230"/>
      <c r="J6" s="230"/>
    </row>
    <row r="7" spans="1:10" ht="16.5">
      <c r="A7" s="230" t="s">
        <v>2</v>
      </c>
      <c r="B7" s="230"/>
      <c r="C7" s="230"/>
      <c r="D7" s="230"/>
      <c r="E7" s="230"/>
      <c r="F7" s="230"/>
      <c r="G7" s="230"/>
      <c r="H7" s="230"/>
      <c r="I7" s="230"/>
      <c r="J7" s="230"/>
    </row>
    <row r="8" spans="1:10" ht="16.5">
      <c r="A8" s="229" t="s">
        <v>3</v>
      </c>
      <c r="B8" s="229"/>
      <c r="C8" s="229"/>
      <c r="D8" s="229"/>
      <c r="E8" s="229"/>
      <c r="F8" s="229"/>
      <c r="G8" s="229"/>
      <c r="H8" s="229"/>
      <c r="I8" s="229"/>
      <c r="J8" s="229"/>
    </row>
    <row r="9" spans="1:10" ht="16.5">
      <c r="A9" s="230"/>
      <c r="B9" s="230"/>
      <c r="C9" s="230"/>
      <c r="D9" s="230"/>
      <c r="E9" s="230"/>
      <c r="F9" s="230"/>
      <c r="G9" s="230"/>
      <c r="H9" s="230"/>
      <c r="I9" s="230"/>
      <c r="J9" s="230"/>
    </row>
    <row r="10" spans="1:10" ht="16.5">
      <c r="A10" s="229" t="s">
        <v>946</v>
      </c>
      <c r="B10" s="229"/>
      <c r="C10" s="229"/>
      <c r="D10" s="229"/>
      <c r="E10" s="229"/>
      <c r="F10" s="229"/>
      <c r="G10" s="229"/>
      <c r="H10" s="229"/>
      <c r="I10" s="229"/>
      <c r="J10" s="229"/>
    </row>
    <row r="11" spans="1:10" ht="16.5">
      <c r="A11" s="231"/>
      <c r="B11" s="231"/>
      <c r="C11" s="231"/>
      <c r="D11" s="231"/>
      <c r="E11" s="231"/>
      <c r="F11" s="231"/>
      <c r="G11" s="231"/>
      <c r="H11" s="231"/>
      <c r="I11" s="231"/>
      <c r="J11" s="231"/>
    </row>
    <row r="12" spans="1:10" ht="16.5" customHeight="1">
      <c r="A12" s="228" t="s">
        <v>4</v>
      </c>
      <c r="B12" s="21"/>
      <c r="C12" s="232" t="s">
        <v>941</v>
      </c>
      <c r="D12" s="228" t="s">
        <v>5</v>
      </c>
      <c r="E12" s="228" t="s">
        <v>6</v>
      </c>
      <c r="F12" s="228" t="s">
        <v>804</v>
      </c>
      <c r="G12" s="228" t="s">
        <v>11</v>
      </c>
      <c r="H12" s="228" t="s">
        <v>12</v>
      </c>
      <c r="I12" s="228" t="s">
        <v>13</v>
      </c>
      <c r="J12" s="228"/>
    </row>
    <row r="13" spans="1:10" ht="16.5">
      <c r="A13" s="228"/>
      <c r="B13" s="21"/>
      <c r="C13" s="233"/>
      <c r="D13" s="228"/>
      <c r="E13" s="228"/>
      <c r="F13" s="228"/>
      <c r="G13" s="228"/>
      <c r="H13" s="228"/>
      <c r="I13" s="21" t="s">
        <v>16</v>
      </c>
      <c r="J13" s="21" t="s">
        <v>17</v>
      </c>
    </row>
    <row r="14" spans="1:10" ht="85.5" customHeight="1">
      <c r="A14" s="23"/>
      <c r="B14" s="23"/>
      <c r="C14" s="108">
        <v>1</v>
      </c>
      <c r="D14" s="52" t="s">
        <v>802</v>
      </c>
      <c r="E14" s="27" t="s">
        <v>803</v>
      </c>
      <c r="F14" s="31" t="s">
        <v>940</v>
      </c>
      <c r="G14" s="27" t="s">
        <v>65</v>
      </c>
      <c r="H14" s="27" t="s">
        <v>805</v>
      </c>
      <c r="I14" s="31" t="s">
        <v>806</v>
      </c>
      <c r="J14" s="31" t="s">
        <v>807</v>
      </c>
    </row>
    <row r="15" spans="1:10" ht="39" customHeight="1">
      <c r="A15" s="23"/>
      <c r="B15" s="23" t="e">
        <f>+#REF!+1</f>
        <v>#REF!</v>
      </c>
      <c r="C15" s="108">
        <f>+C14+1</f>
        <v>2</v>
      </c>
      <c r="D15" s="27" t="s">
        <v>579</v>
      </c>
      <c r="E15" s="27" t="s">
        <v>25</v>
      </c>
      <c r="F15" s="31" t="s">
        <v>580</v>
      </c>
      <c r="G15" s="27" t="s">
        <v>78</v>
      </c>
      <c r="H15" s="27" t="s">
        <v>581</v>
      </c>
      <c r="I15" s="31">
        <v>842859306</v>
      </c>
      <c r="J15" s="31"/>
    </row>
    <row r="16" spans="1:10" ht="75.75" customHeight="1">
      <c r="A16" s="22">
        <v>2</v>
      </c>
      <c r="B16" s="22" t="e">
        <f t="shared" ref="B16:B45" si="0">+B15+1</f>
        <v>#REF!</v>
      </c>
      <c r="C16" s="108">
        <f>+C15+1</f>
        <v>3</v>
      </c>
      <c r="D16" s="27" t="s">
        <v>808</v>
      </c>
      <c r="E16" s="27" t="s">
        <v>809</v>
      </c>
      <c r="F16" s="31" t="s">
        <v>813</v>
      </c>
      <c r="G16" s="27" t="s">
        <v>814</v>
      </c>
      <c r="H16" s="27" t="s">
        <v>811</v>
      </c>
      <c r="I16" s="31" t="s">
        <v>810</v>
      </c>
      <c r="J16" s="53" t="s">
        <v>812</v>
      </c>
    </row>
    <row r="17" spans="1:10" ht="84.75" customHeight="1" thickBot="1">
      <c r="A17" s="22"/>
      <c r="B17" s="22"/>
      <c r="C17" s="108">
        <f t="shared" ref="C17:C51" si="1">+C16+1</f>
        <v>4</v>
      </c>
      <c r="D17" s="27" t="s">
        <v>815</v>
      </c>
      <c r="E17" s="27" t="s">
        <v>803</v>
      </c>
      <c r="F17" s="31" t="s">
        <v>816</v>
      </c>
      <c r="G17" s="27" t="s">
        <v>817</v>
      </c>
      <c r="H17" s="24" t="s">
        <v>818</v>
      </c>
      <c r="I17" s="24" t="s">
        <v>819</v>
      </c>
      <c r="J17" s="53" t="s">
        <v>820</v>
      </c>
    </row>
    <row r="18" spans="1:10" ht="69.75" customHeight="1" thickBot="1">
      <c r="A18" s="22"/>
      <c r="B18" s="22"/>
      <c r="C18" s="108">
        <f t="shared" si="1"/>
        <v>5</v>
      </c>
      <c r="D18" s="27" t="s">
        <v>821</v>
      </c>
      <c r="E18" s="27" t="s">
        <v>822</v>
      </c>
      <c r="F18" s="31" t="s">
        <v>823</v>
      </c>
      <c r="G18" s="31" t="s">
        <v>824</v>
      </c>
      <c r="H18" s="31" t="s">
        <v>825</v>
      </c>
      <c r="I18" s="54">
        <v>848302928</v>
      </c>
      <c r="J18" s="55" t="s">
        <v>826</v>
      </c>
    </row>
    <row r="19" spans="1:10" ht="82.5" customHeight="1" thickBot="1">
      <c r="A19" s="22"/>
      <c r="B19" s="22"/>
      <c r="C19" s="108">
        <f t="shared" si="1"/>
        <v>6</v>
      </c>
      <c r="D19" s="27" t="s">
        <v>827</v>
      </c>
      <c r="E19" s="27" t="s">
        <v>828</v>
      </c>
      <c r="F19" s="31" t="s">
        <v>829</v>
      </c>
      <c r="G19" s="27" t="s">
        <v>833</v>
      </c>
      <c r="H19" s="54" t="s">
        <v>830</v>
      </c>
      <c r="I19" s="56" t="s">
        <v>831</v>
      </c>
      <c r="J19" s="56" t="s">
        <v>832</v>
      </c>
    </row>
    <row r="20" spans="1:10" ht="43.5" customHeight="1" thickBot="1">
      <c r="A20" s="22">
        <v>8</v>
      </c>
      <c r="B20" s="22" t="e">
        <f>+#REF!+1</f>
        <v>#REF!</v>
      </c>
      <c r="C20" s="108">
        <f t="shared" si="1"/>
        <v>7</v>
      </c>
      <c r="D20" s="27" t="s">
        <v>30</v>
      </c>
      <c r="E20" s="27" t="s">
        <v>623</v>
      </c>
      <c r="F20" s="31"/>
      <c r="G20" s="27" t="s">
        <v>625</v>
      </c>
      <c r="H20" s="27" t="s">
        <v>626</v>
      </c>
      <c r="I20" s="31"/>
      <c r="J20" s="31"/>
    </row>
    <row r="21" spans="1:10" ht="60.75" customHeight="1" thickBot="1">
      <c r="A21" s="22"/>
      <c r="B21" s="22"/>
      <c r="C21" s="108">
        <f t="shared" si="1"/>
        <v>8</v>
      </c>
      <c r="D21" s="57" t="s">
        <v>834</v>
      </c>
      <c r="E21" s="55" t="s">
        <v>835</v>
      </c>
      <c r="F21" s="31" t="s">
        <v>942</v>
      </c>
      <c r="G21" s="27" t="s">
        <v>943</v>
      </c>
      <c r="H21" s="54" t="s">
        <v>836</v>
      </c>
      <c r="I21" s="55" t="s">
        <v>837</v>
      </c>
      <c r="J21" s="55" t="s">
        <v>838</v>
      </c>
    </row>
    <row r="22" spans="1:10" ht="38.25" customHeight="1" thickBot="1">
      <c r="A22" s="22"/>
      <c r="B22" s="22"/>
      <c r="C22" s="108">
        <f t="shared" si="1"/>
        <v>9</v>
      </c>
      <c r="D22" s="27" t="s">
        <v>839</v>
      </c>
      <c r="E22" s="58" t="s">
        <v>840</v>
      </c>
      <c r="F22" s="31" t="s">
        <v>841</v>
      </c>
      <c r="G22" s="31" t="s">
        <v>842</v>
      </c>
      <c r="H22" s="54" t="s">
        <v>843</v>
      </c>
      <c r="I22" s="55" t="s">
        <v>844</v>
      </c>
      <c r="J22" s="31" t="s">
        <v>848</v>
      </c>
    </row>
    <row r="23" spans="1:10" ht="36.75" customHeight="1" thickBot="1">
      <c r="A23" s="22"/>
      <c r="B23" s="22"/>
      <c r="C23" s="108">
        <f t="shared" si="1"/>
        <v>10</v>
      </c>
      <c r="D23" s="59" t="s">
        <v>845</v>
      </c>
      <c r="E23" s="56" t="s">
        <v>846</v>
      </c>
      <c r="F23" s="60" t="s">
        <v>847</v>
      </c>
      <c r="G23" s="27" t="s">
        <v>849</v>
      </c>
      <c r="H23" s="58">
        <v>867279000</v>
      </c>
      <c r="I23" s="56">
        <v>847278100</v>
      </c>
      <c r="J23" s="56" t="s">
        <v>850</v>
      </c>
    </row>
    <row r="24" spans="1:10" ht="60" customHeight="1" thickBot="1">
      <c r="A24" s="22"/>
      <c r="B24" s="22"/>
      <c r="C24" s="108">
        <f t="shared" si="1"/>
        <v>11</v>
      </c>
      <c r="D24" s="27" t="s">
        <v>851</v>
      </c>
      <c r="E24" s="27" t="s">
        <v>852</v>
      </c>
      <c r="F24" s="31" t="s">
        <v>853</v>
      </c>
      <c r="G24" s="27" t="s">
        <v>849</v>
      </c>
      <c r="H24" s="58" t="s">
        <v>854</v>
      </c>
      <c r="I24" s="56">
        <v>843630642</v>
      </c>
      <c r="J24" s="61" t="s">
        <v>855</v>
      </c>
    </row>
    <row r="25" spans="1:10" ht="57">
      <c r="A25" s="22"/>
      <c r="B25" s="22"/>
      <c r="C25" s="108">
        <f t="shared" si="1"/>
        <v>12</v>
      </c>
      <c r="D25" s="27" t="s">
        <v>856</v>
      </c>
      <c r="E25" s="27" t="s">
        <v>857</v>
      </c>
      <c r="F25" s="31" t="s">
        <v>858</v>
      </c>
      <c r="G25" s="27" t="s">
        <v>859</v>
      </c>
      <c r="H25" s="62" t="s">
        <v>830</v>
      </c>
      <c r="I25" s="27" t="s">
        <v>860</v>
      </c>
      <c r="J25" s="31" t="s">
        <v>861</v>
      </c>
    </row>
    <row r="26" spans="1:10" ht="42" customHeight="1">
      <c r="A26" s="22"/>
      <c r="B26" s="22"/>
      <c r="C26" s="108">
        <f t="shared" si="1"/>
        <v>13</v>
      </c>
      <c r="D26" s="63" t="s">
        <v>862</v>
      </c>
      <c r="E26" s="217" t="s">
        <v>863</v>
      </c>
      <c r="F26" s="219" t="s">
        <v>866</v>
      </c>
      <c r="G26" s="220" t="s">
        <v>38</v>
      </c>
      <c r="H26" s="224" t="s">
        <v>867</v>
      </c>
      <c r="I26" s="227" t="s">
        <v>864</v>
      </c>
      <c r="J26" s="222" t="s">
        <v>865</v>
      </c>
    </row>
    <row r="27" spans="1:10" ht="33" customHeight="1">
      <c r="A27" s="22">
        <v>16</v>
      </c>
      <c r="B27" s="22">
        <f t="shared" si="0"/>
        <v>1</v>
      </c>
      <c r="C27" s="108">
        <f t="shared" si="1"/>
        <v>14</v>
      </c>
      <c r="D27" s="64" t="s">
        <v>868</v>
      </c>
      <c r="E27" s="218"/>
      <c r="F27" s="219"/>
      <c r="G27" s="221"/>
      <c r="H27" s="226"/>
      <c r="I27" s="218"/>
      <c r="J27" s="223"/>
    </row>
    <row r="28" spans="1:10" ht="29.25">
      <c r="A28" s="22">
        <v>17</v>
      </c>
      <c r="B28" s="22">
        <f t="shared" si="0"/>
        <v>2</v>
      </c>
      <c r="C28" s="108">
        <f t="shared" si="1"/>
        <v>15</v>
      </c>
      <c r="D28" s="65" t="s">
        <v>869</v>
      </c>
      <c r="E28" s="62" t="s">
        <v>870</v>
      </c>
      <c r="F28" s="66" t="s">
        <v>871</v>
      </c>
      <c r="G28" s="67" t="s">
        <v>872</v>
      </c>
      <c r="H28" s="68" t="s">
        <v>873</v>
      </c>
      <c r="I28" s="69" t="s">
        <v>874</v>
      </c>
      <c r="J28" s="70" t="s">
        <v>875</v>
      </c>
    </row>
    <row r="29" spans="1:10" ht="45.75" customHeight="1">
      <c r="A29" s="22">
        <v>18</v>
      </c>
      <c r="B29" s="22">
        <f t="shared" si="0"/>
        <v>3</v>
      </c>
      <c r="C29" s="108">
        <f t="shared" si="1"/>
        <v>16</v>
      </c>
      <c r="D29" s="27" t="s">
        <v>447</v>
      </c>
      <c r="E29" s="27"/>
      <c r="F29" s="31"/>
      <c r="G29" s="27" t="s">
        <v>55</v>
      </c>
      <c r="H29" s="27"/>
      <c r="I29" s="31"/>
      <c r="J29" s="31"/>
    </row>
    <row r="30" spans="1:10" ht="16.5">
      <c r="A30" s="22"/>
      <c r="B30" s="22">
        <f t="shared" si="0"/>
        <v>4</v>
      </c>
      <c r="C30" s="108">
        <f t="shared" si="1"/>
        <v>17</v>
      </c>
      <c r="D30" s="27" t="s">
        <v>876</v>
      </c>
      <c r="E30" s="27" t="s">
        <v>877</v>
      </c>
      <c r="F30" s="31" t="s">
        <v>878</v>
      </c>
      <c r="G30" s="27"/>
      <c r="H30" s="27"/>
      <c r="I30" s="31"/>
      <c r="J30" s="31"/>
    </row>
    <row r="31" spans="1:10" ht="117" customHeight="1">
      <c r="A31" s="22">
        <v>19</v>
      </c>
      <c r="B31" s="22">
        <f t="shared" si="0"/>
        <v>5</v>
      </c>
      <c r="C31" s="108">
        <f t="shared" si="1"/>
        <v>18</v>
      </c>
      <c r="D31" s="71" t="s">
        <v>949</v>
      </c>
      <c r="E31" s="71" t="s">
        <v>879</v>
      </c>
      <c r="F31" s="31" t="s">
        <v>880</v>
      </c>
      <c r="G31" s="27" t="s">
        <v>881</v>
      </c>
      <c r="H31" s="72" t="s">
        <v>882</v>
      </c>
      <c r="I31" s="224" t="s">
        <v>883</v>
      </c>
      <c r="J31" s="31" t="s">
        <v>884</v>
      </c>
    </row>
    <row r="32" spans="1:10" ht="72" customHeight="1">
      <c r="A32" s="22">
        <v>20</v>
      </c>
      <c r="B32" s="22">
        <f t="shared" si="0"/>
        <v>6</v>
      </c>
      <c r="C32" s="108">
        <f t="shared" si="1"/>
        <v>19</v>
      </c>
      <c r="D32" s="27" t="s">
        <v>886</v>
      </c>
      <c r="E32" s="72" t="s">
        <v>947</v>
      </c>
      <c r="F32" s="31" t="s">
        <v>889</v>
      </c>
      <c r="G32" s="27" t="s">
        <v>887</v>
      </c>
      <c r="H32" s="71" t="s">
        <v>948</v>
      </c>
      <c r="I32" s="225"/>
      <c r="J32" s="73" t="s">
        <v>885</v>
      </c>
    </row>
    <row r="33" spans="1:10" ht="45.75">
      <c r="A33" s="22">
        <v>21</v>
      </c>
      <c r="B33" s="22">
        <f t="shared" si="0"/>
        <v>7</v>
      </c>
      <c r="C33" s="108">
        <f t="shared" si="1"/>
        <v>20</v>
      </c>
      <c r="D33" s="74" t="s">
        <v>950</v>
      </c>
      <c r="E33" s="27" t="s">
        <v>888</v>
      </c>
      <c r="F33" s="75" t="s">
        <v>890</v>
      </c>
      <c r="G33" s="76" t="s">
        <v>887</v>
      </c>
      <c r="H33" s="77" t="s">
        <v>873</v>
      </c>
      <c r="I33" s="78" t="s">
        <v>874</v>
      </c>
      <c r="J33" s="79" t="s">
        <v>875</v>
      </c>
    </row>
    <row r="34" spans="1:10" ht="28.5">
      <c r="A34" s="22">
        <v>22</v>
      </c>
      <c r="B34" s="22">
        <f t="shared" si="0"/>
        <v>8</v>
      </c>
      <c r="C34" s="108">
        <f t="shared" si="1"/>
        <v>21</v>
      </c>
      <c r="D34" s="80" t="s">
        <v>891</v>
      </c>
      <c r="E34" s="81" t="s">
        <v>892</v>
      </c>
      <c r="F34" s="82" t="s">
        <v>893</v>
      </c>
      <c r="G34" s="65" t="s">
        <v>652</v>
      </c>
      <c r="H34" s="65" t="s">
        <v>894</v>
      </c>
      <c r="I34" s="65" t="s">
        <v>895</v>
      </c>
      <c r="J34" s="83" t="s">
        <v>896</v>
      </c>
    </row>
    <row r="35" spans="1:10" ht="36" customHeight="1">
      <c r="A35" s="22">
        <v>23</v>
      </c>
      <c r="B35" s="22">
        <f t="shared" si="0"/>
        <v>9</v>
      </c>
      <c r="C35" s="108">
        <f t="shared" si="1"/>
        <v>22</v>
      </c>
      <c r="D35" s="84" t="s">
        <v>897</v>
      </c>
      <c r="E35" s="85" t="s">
        <v>25</v>
      </c>
      <c r="F35" s="86" t="s">
        <v>898</v>
      </c>
      <c r="G35" s="87" t="s">
        <v>899</v>
      </c>
      <c r="H35" s="88"/>
      <c r="I35" s="89"/>
      <c r="J35" s="90"/>
    </row>
    <row r="36" spans="1:10" ht="42.75">
      <c r="A36" s="22">
        <v>25</v>
      </c>
      <c r="B36" s="22">
        <f t="shared" si="0"/>
        <v>10</v>
      </c>
      <c r="C36" s="108">
        <f t="shared" si="1"/>
        <v>23</v>
      </c>
      <c r="D36" s="91" t="s">
        <v>951</v>
      </c>
      <c r="E36" s="91" t="s">
        <v>900</v>
      </c>
      <c r="F36" s="75" t="s">
        <v>901</v>
      </c>
      <c r="G36" s="92" t="s">
        <v>902</v>
      </c>
      <c r="H36" s="93" t="s">
        <v>903</v>
      </c>
      <c r="I36" s="94" t="s">
        <v>905</v>
      </c>
      <c r="J36" s="27" t="s">
        <v>904</v>
      </c>
    </row>
    <row r="37" spans="1:10" ht="29.25">
      <c r="A37" s="22">
        <v>26</v>
      </c>
      <c r="B37" s="22">
        <f t="shared" si="0"/>
        <v>11</v>
      </c>
      <c r="C37" s="108">
        <f t="shared" si="1"/>
        <v>24</v>
      </c>
      <c r="D37" s="63" t="s">
        <v>952</v>
      </c>
      <c r="E37" s="65" t="s">
        <v>906</v>
      </c>
      <c r="F37" s="95" t="s">
        <v>907</v>
      </c>
      <c r="G37" s="27" t="s">
        <v>872</v>
      </c>
      <c r="H37" s="65" t="s">
        <v>908</v>
      </c>
      <c r="I37" s="83" t="s">
        <v>909</v>
      </c>
      <c r="J37" s="80" t="s">
        <v>910</v>
      </c>
    </row>
    <row r="38" spans="1:10" s="9" customFormat="1" ht="57">
      <c r="A38" s="22">
        <v>27</v>
      </c>
      <c r="B38" s="22">
        <f t="shared" si="0"/>
        <v>12</v>
      </c>
      <c r="C38" s="108">
        <f t="shared" si="1"/>
        <v>25</v>
      </c>
      <c r="D38" s="81" t="s">
        <v>954</v>
      </c>
      <c r="E38" s="65" t="s">
        <v>911</v>
      </c>
      <c r="F38" s="82" t="s">
        <v>912</v>
      </c>
      <c r="G38" s="27" t="s">
        <v>872</v>
      </c>
      <c r="H38" s="82" t="s">
        <v>913</v>
      </c>
      <c r="I38" s="96" t="s">
        <v>915</v>
      </c>
      <c r="J38" s="97" t="s">
        <v>914</v>
      </c>
    </row>
    <row r="39" spans="1:10" ht="99" customHeight="1">
      <c r="A39" s="22">
        <v>28</v>
      </c>
      <c r="B39" s="22">
        <f t="shared" si="0"/>
        <v>13</v>
      </c>
      <c r="C39" s="108">
        <f t="shared" si="1"/>
        <v>26</v>
      </c>
      <c r="D39" s="98" t="s">
        <v>953</v>
      </c>
      <c r="E39" s="99" t="s">
        <v>916</v>
      </c>
      <c r="F39" s="100" t="s">
        <v>917</v>
      </c>
      <c r="G39" s="101" t="s">
        <v>872</v>
      </c>
      <c r="H39" s="74" t="s">
        <v>918</v>
      </c>
      <c r="I39" s="83" t="s">
        <v>919</v>
      </c>
      <c r="J39" s="102" t="s">
        <v>920</v>
      </c>
    </row>
    <row r="40" spans="1:10" ht="74.25" customHeight="1">
      <c r="A40" s="22">
        <v>29</v>
      </c>
      <c r="B40" s="22">
        <f t="shared" si="0"/>
        <v>14</v>
      </c>
      <c r="C40" s="108">
        <f t="shared" si="1"/>
        <v>27</v>
      </c>
      <c r="D40" s="103" t="s">
        <v>921</v>
      </c>
      <c r="E40" s="27" t="s">
        <v>926</v>
      </c>
      <c r="F40" s="31" t="s">
        <v>922</v>
      </c>
      <c r="G40" s="27" t="s">
        <v>872</v>
      </c>
      <c r="H40" s="27" t="s">
        <v>924</v>
      </c>
      <c r="I40" s="31" t="s">
        <v>923</v>
      </c>
      <c r="J40" s="31" t="s">
        <v>925</v>
      </c>
    </row>
    <row r="41" spans="1:10" ht="103.5" customHeight="1">
      <c r="A41" s="22">
        <v>30</v>
      </c>
      <c r="B41" s="22">
        <f t="shared" si="0"/>
        <v>15</v>
      </c>
      <c r="C41" s="108">
        <f t="shared" si="1"/>
        <v>28</v>
      </c>
      <c r="D41" s="27" t="s">
        <v>956</v>
      </c>
      <c r="E41" s="27" t="s">
        <v>927</v>
      </c>
      <c r="F41" s="31" t="s">
        <v>944</v>
      </c>
      <c r="G41" s="27" t="s">
        <v>928</v>
      </c>
      <c r="H41" s="27"/>
      <c r="I41" s="31"/>
      <c r="J41" s="31"/>
    </row>
    <row r="42" spans="1:10" ht="71.25" customHeight="1">
      <c r="A42" s="22">
        <v>31</v>
      </c>
      <c r="B42" s="22">
        <f t="shared" si="0"/>
        <v>16</v>
      </c>
      <c r="C42" s="108">
        <f t="shared" si="1"/>
        <v>29</v>
      </c>
      <c r="D42" s="27" t="s">
        <v>955</v>
      </c>
      <c r="E42" s="31" t="s">
        <v>929</v>
      </c>
      <c r="F42" s="31" t="s">
        <v>930</v>
      </c>
      <c r="G42" s="27" t="s">
        <v>872</v>
      </c>
      <c r="H42" s="27" t="s">
        <v>945</v>
      </c>
      <c r="I42" s="31" t="s">
        <v>931</v>
      </c>
      <c r="J42" s="31" t="s">
        <v>932</v>
      </c>
    </row>
    <row r="43" spans="1:10" ht="78.75" customHeight="1">
      <c r="A43" s="22">
        <v>32</v>
      </c>
      <c r="B43" s="22">
        <f t="shared" si="0"/>
        <v>17</v>
      </c>
      <c r="C43" s="108">
        <f t="shared" si="1"/>
        <v>30</v>
      </c>
      <c r="D43" s="27" t="s">
        <v>933</v>
      </c>
      <c r="E43" s="104" t="s">
        <v>934</v>
      </c>
      <c r="F43" s="31" t="s">
        <v>935</v>
      </c>
      <c r="G43" s="60" t="s">
        <v>936</v>
      </c>
      <c r="H43" s="82" t="s">
        <v>937</v>
      </c>
      <c r="I43" s="72" t="s">
        <v>939</v>
      </c>
      <c r="J43" s="31" t="s">
        <v>938</v>
      </c>
    </row>
    <row r="44" spans="1:10" ht="16.5">
      <c r="A44" s="22">
        <v>40</v>
      </c>
      <c r="B44" s="22" t="e">
        <f>+#REF!+1</f>
        <v>#REF!</v>
      </c>
      <c r="C44" s="108">
        <f t="shared" si="1"/>
        <v>31</v>
      </c>
      <c r="D44" s="27" t="s">
        <v>74</v>
      </c>
      <c r="E44" s="27"/>
      <c r="F44" s="31"/>
      <c r="G44" s="27" t="s">
        <v>76</v>
      </c>
      <c r="H44" s="27"/>
      <c r="I44" s="31"/>
      <c r="J44" s="31"/>
    </row>
    <row r="45" spans="1:10" ht="16.5">
      <c r="A45" s="22">
        <v>41</v>
      </c>
      <c r="B45" s="22" t="e">
        <f t="shared" si="0"/>
        <v>#REF!</v>
      </c>
      <c r="C45" s="108">
        <f t="shared" si="1"/>
        <v>32</v>
      </c>
      <c r="D45" s="27" t="s">
        <v>77</v>
      </c>
      <c r="E45" s="27"/>
      <c r="F45" s="31"/>
      <c r="G45" s="27" t="s">
        <v>78</v>
      </c>
      <c r="H45" s="27"/>
      <c r="I45" s="31"/>
      <c r="J45" s="31"/>
    </row>
    <row r="46" spans="1:10" ht="28.5">
      <c r="A46" s="22">
        <v>46</v>
      </c>
      <c r="B46" s="22" t="e">
        <f>+#REF!+1</f>
        <v>#REF!</v>
      </c>
      <c r="C46" s="108">
        <f t="shared" si="1"/>
        <v>33</v>
      </c>
      <c r="D46" s="101" t="s">
        <v>83</v>
      </c>
      <c r="E46" s="26" t="s">
        <v>523</v>
      </c>
      <c r="F46" s="31" t="s">
        <v>512</v>
      </c>
      <c r="G46" s="27" t="s">
        <v>711</v>
      </c>
      <c r="H46" s="27" t="s">
        <v>513</v>
      </c>
      <c r="I46" s="72">
        <v>845864080</v>
      </c>
      <c r="J46" s="27" t="s">
        <v>514</v>
      </c>
    </row>
    <row r="47" spans="1:10" ht="16.5">
      <c r="A47" s="22">
        <v>63</v>
      </c>
      <c r="B47" s="22" t="e">
        <f>+#REF!+1</f>
        <v>#REF!</v>
      </c>
      <c r="C47" s="108">
        <f t="shared" si="1"/>
        <v>34</v>
      </c>
      <c r="D47" s="31" t="s">
        <v>104</v>
      </c>
      <c r="E47" s="105" t="s">
        <v>25</v>
      </c>
      <c r="F47" s="31"/>
      <c r="G47" s="27" t="s">
        <v>105</v>
      </c>
      <c r="H47" s="27"/>
      <c r="I47" s="31"/>
      <c r="J47" s="31"/>
    </row>
    <row r="48" spans="1:10" ht="16.5">
      <c r="A48" s="22">
        <v>68</v>
      </c>
      <c r="B48" s="22" t="e">
        <f>+#REF!+1</f>
        <v>#REF!</v>
      </c>
      <c r="C48" s="108">
        <f t="shared" si="1"/>
        <v>35</v>
      </c>
      <c r="D48" s="106" t="s">
        <v>107</v>
      </c>
      <c r="E48" s="31"/>
      <c r="F48" s="31"/>
      <c r="G48" s="27" t="s">
        <v>29</v>
      </c>
      <c r="H48" s="27"/>
      <c r="I48" s="31"/>
      <c r="J48" s="31"/>
    </row>
    <row r="49" spans="1:16" ht="16.5">
      <c r="A49" s="22">
        <v>77</v>
      </c>
      <c r="B49" s="22" t="e">
        <f>+#REF!+1</f>
        <v>#REF!</v>
      </c>
      <c r="C49" s="108">
        <f t="shared" si="1"/>
        <v>36</v>
      </c>
      <c r="D49" s="31" t="s">
        <v>114</v>
      </c>
      <c r="E49" s="31"/>
      <c r="F49" s="31"/>
      <c r="G49" s="27" t="s">
        <v>25</v>
      </c>
      <c r="H49" s="27"/>
      <c r="I49" s="31"/>
      <c r="J49" s="31"/>
    </row>
    <row r="50" spans="1:16" ht="66" customHeight="1">
      <c r="A50" s="22">
        <v>81</v>
      </c>
      <c r="B50" s="22" t="e">
        <f>+#REF!+1</f>
        <v>#REF!</v>
      </c>
      <c r="C50" s="108">
        <f t="shared" si="1"/>
        <v>37</v>
      </c>
      <c r="D50" s="31" t="s">
        <v>957</v>
      </c>
      <c r="E50" s="31" t="s">
        <v>25</v>
      </c>
      <c r="F50" s="31"/>
      <c r="G50" s="27" t="s">
        <v>108</v>
      </c>
      <c r="H50" s="27" t="s">
        <v>730</v>
      </c>
      <c r="I50" s="31"/>
      <c r="J50" s="31"/>
    </row>
    <row r="51" spans="1:16" ht="16.5">
      <c r="A51" s="22">
        <v>83</v>
      </c>
      <c r="B51" s="22" t="e">
        <f>+#REF!+1</f>
        <v>#REF!</v>
      </c>
      <c r="C51" s="108">
        <f t="shared" si="1"/>
        <v>38</v>
      </c>
      <c r="D51" s="31" t="s">
        <v>125</v>
      </c>
      <c r="E51" s="31"/>
      <c r="F51" s="31"/>
      <c r="G51" s="27" t="s">
        <v>25</v>
      </c>
      <c r="H51" s="27"/>
      <c r="I51" s="31"/>
      <c r="J51" s="31"/>
    </row>
    <row r="52" spans="1:16" ht="33">
      <c r="A52" s="22">
        <v>149</v>
      </c>
      <c r="B52" s="22" t="e">
        <f>+#REF!+1</f>
        <v>#REF!</v>
      </c>
      <c r="C52" s="109">
        <f>+C51+1</f>
        <v>39</v>
      </c>
      <c r="D52" s="13" t="s">
        <v>801</v>
      </c>
      <c r="E52" s="13" t="s">
        <v>731</v>
      </c>
      <c r="F52" s="13" t="s">
        <v>737</v>
      </c>
      <c r="G52" s="23" t="s">
        <v>732</v>
      </c>
      <c r="H52" s="23"/>
      <c r="I52" s="13" t="s">
        <v>738</v>
      </c>
      <c r="J52" s="14" t="s">
        <v>739</v>
      </c>
    </row>
    <row r="53" spans="1:16" ht="16.5">
      <c r="A53" s="22">
        <v>167</v>
      </c>
      <c r="B53" s="22" t="e">
        <f>+#REF!+1</f>
        <v>#REF!</v>
      </c>
      <c r="C53" s="109">
        <f t="shared" ref="C53:C55" si="2">+C52+1</f>
        <v>40</v>
      </c>
      <c r="D53" s="13" t="s">
        <v>226</v>
      </c>
      <c r="E53" s="13" t="s">
        <v>958</v>
      </c>
      <c r="F53" s="13"/>
      <c r="G53" s="23" t="s">
        <v>25</v>
      </c>
      <c r="H53" s="23"/>
      <c r="I53" s="13"/>
      <c r="J53" s="13"/>
      <c r="M53" s="121"/>
      <c r="N53" s="121"/>
      <c r="O53" s="121"/>
      <c r="P53" s="121"/>
    </row>
    <row r="54" spans="1:16" ht="33">
      <c r="A54" s="46"/>
      <c r="B54" s="46"/>
      <c r="C54" s="109">
        <f t="shared" si="2"/>
        <v>41</v>
      </c>
      <c r="D54" s="23" t="s">
        <v>171</v>
      </c>
      <c r="E54" s="23"/>
      <c r="F54" s="13" t="s">
        <v>172</v>
      </c>
      <c r="G54" s="23" t="s">
        <v>173</v>
      </c>
      <c r="H54" s="23" t="s">
        <v>174</v>
      </c>
      <c r="I54" s="13">
        <v>842975544</v>
      </c>
      <c r="J54" s="13" t="s">
        <v>175</v>
      </c>
      <c r="M54" s="121"/>
      <c r="N54" s="20"/>
      <c r="O54" s="20"/>
      <c r="P54" s="121"/>
    </row>
    <row r="55" spans="1:16" ht="16.5">
      <c r="A55" s="46"/>
      <c r="B55" s="46"/>
      <c r="C55" s="109">
        <f t="shared" si="2"/>
        <v>42</v>
      </c>
      <c r="D55" s="23" t="s">
        <v>1116</v>
      </c>
      <c r="E55" s="23" t="s">
        <v>1117</v>
      </c>
      <c r="F55" s="13" t="s">
        <v>1118</v>
      </c>
      <c r="G55" s="23" t="s">
        <v>19</v>
      </c>
      <c r="H55" s="23" t="s">
        <v>1119</v>
      </c>
      <c r="I55" s="13" t="s">
        <v>1120</v>
      </c>
      <c r="J55" s="13"/>
      <c r="M55" s="121"/>
      <c r="N55" s="20"/>
      <c r="O55" s="20"/>
      <c r="P55" s="121"/>
    </row>
    <row r="56" spans="1:16" ht="16.5">
      <c r="A56" s="46"/>
      <c r="B56" s="46"/>
      <c r="C56" s="46"/>
      <c r="D56" s="49"/>
      <c r="E56" s="49"/>
      <c r="F56" s="20"/>
      <c r="G56" s="49"/>
      <c r="H56" s="49"/>
      <c r="I56" s="20"/>
      <c r="J56" s="20"/>
      <c r="M56" s="121"/>
      <c r="N56" s="20"/>
      <c r="O56" s="20"/>
      <c r="P56" s="121"/>
    </row>
    <row r="57" spans="1:16" ht="16.5">
      <c r="A57" s="47"/>
      <c r="B57" s="47"/>
      <c r="F57" s="48" t="s">
        <v>1115</v>
      </c>
      <c r="G57" s="1"/>
      <c r="H57" s="20"/>
      <c r="I57" s="20"/>
      <c r="J57" s="20"/>
      <c r="M57" s="121"/>
      <c r="N57" s="121"/>
      <c r="O57" s="121"/>
      <c r="P57" s="121"/>
    </row>
    <row r="58" spans="1:16">
      <c r="F58" s="7"/>
      <c r="G58" s="1"/>
      <c r="H58" s="10"/>
      <c r="I58" s="10"/>
      <c r="J58" s="10"/>
    </row>
    <row r="59" spans="1:16">
      <c r="F59" s="10" t="s">
        <v>481</v>
      </c>
      <c r="G59" s="1"/>
      <c r="H59" s="7"/>
      <c r="I59" s="7"/>
    </row>
    <row r="60" spans="1:16">
      <c r="F60" s="10"/>
      <c r="G60" s="1"/>
      <c r="H60" s="10"/>
      <c r="I60" s="10"/>
      <c r="J60" s="10"/>
    </row>
    <row r="61" spans="1:16">
      <c r="F61" s="10" t="s">
        <v>482</v>
      </c>
      <c r="G61" s="1"/>
      <c r="H61" s="10"/>
      <c r="I61" s="10"/>
    </row>
    <row r="62" spans="1:16">
      <c r="F62" s="10" t="s">
        <v>483</v>
      </c>
      <c r="G62" s="1"/>
      <c r="H62" s="10"/>
      <c r="I62" s="10"/>
      <c r="J62" s="10"/>
    </row>
    <row r="63" spans="1:16">
      <c r="D63" s="7"/>
      <c r="E63" s="10"/>
      <c r="F63" s="10"/>
      <c r="G63" s="1"/>
      <c r="H63" s="10"/>
      <c r="I63" s="10"/>
      <c r="J63" s="10"/>
    </row>
    <row r="64" spans="1:16">
      <c r="D64" s="7"/>
      <c r="G64" s="1"/>
      <c r="H64" s="1"/>
    </row>
    <row r="65" spans="7:8">
      <c r="G65" s="1"/>
      <c r="H65" s="1"/>
    </row>
  </sheetData>
  <mergeCells count="25">
    <mergeCell ref="A7:J7"/>
    <mergeCell ref="A2:J2"/>
    <mergeCell ref="A3:J3"/>
    <mergeCell ref="A4:J4"/>
    <mergeCell ref="A5:J5"/>
    <mergeCell ref="A6:J6"/>
    <mergeCell ref="G12:G13"/>
    <mergeCell ref="H12:H13"/>
    <mergeCell ref="I12:J12"/>
    <mergeCell ref="A8:J8"/>
    <mergeCell ref="A9:J9"/>
    <mergeCell ref="A10:J10"/>
    <mergeCell ref="A11:J11"/>
    <mergeCell ref="A12:A13"/>
    <mergeCell ref="D12:D13"/>
    <mergeCell ref="E12:E13"/>
    <mergeCell ref="F12:F13"/>
    <mergeCell ref="C12:C13"/>
    <mergeCell ref="E26:E27"/>
    <mergeCell ref="F26:F27"/>
    <mergeCell ref="G26:G27"/>
    <mergeCell ref="J26:J27"/>
    <mergeCell ref="I31:I32"/>
    <mergeCell ref="H26:H27"/>
    <mergeCell ref="I26:I27"/>
  </mergeCells>
  <hyperlinks>
    <hyperlink ref="J46" r:id="rId1"/>
    <hyperlink ref="J52" r:id="rId2" display="jchabuca@pircom.org.mz"/>
    <hyperlink ref="J16" r:id="rId3"/>
    <hyperlink ref="J17" r:id="rId4"/>
    <hyperlink ref="J24" r:id="rId5" display="mailto:Lucasmainatojaoa@gmail.com"/>
    <hyperlink ref="J26" r:id="rId6"/>
    <hyperlink ref="J28" r:id="rId7" display="mailto:ajupce@yahoo.com.br"/>
    <hyperlink ref="J33" r:id="rId8" display="mailto:ajupce@yahoo.com.br"/>
    <hyperlink ref="J38" r:id="rId9"/>
    <hyperlink ref="J54" r:id="rId10"/>
  </hyperlinks>
  <pageMargins left="0.7" right="0.7" top="0.75" bottom="0.75" header="0.3" footer="0.3"/>
  <pageSetup paperSize="9" scale="39" orientation="landscape" r:id="rId11"/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170"/>
  <sheetViews>
    <sheetView zoomScale="70" zoomScaleNormal="70" zoomScaleSheetLayoutView="70" workbookViewId="0">
      <pane ySplit="13" topLeftCell="A65" activePane="bottomLeft" state="frozen"/>
      <selection activeCell="B1" sqref="B1"/>
      <selection pane="bottomLeft" activeCell="N70" sqref="N70"/>
    </sheetView>
  </sheetViews>
  <sheetFormatPr defaultRowHeight="15"/>
  <cols>
    <col min="1" max="1" width="6.140625" style="1" hidden="1" customWidth="1"/>
    <col min="2" max="2" width="6.140625" style="1" customWidth="1"/>
    <col min="3" max="3" width="44.85546875" style="6" customWidth="1"/>
    <col min="4" max="4" width="24.5703125" style="6" customWidth="1"/>
    <col min="5" max="5" width="18.85546875" style="6" customWidth="1"/>
    <col min="6" max="6" width="12.140625" style="119" customWidth="1"/>
    <col min="7" max="7" width="50.140625" style="1" customWidth="1"/>
    <col min="8" max="8" width="16.42578125" style="1" customWidth="1"/>
    <col min="9" max="9" width="29.85546875" style="4" customWidth="1"/>
    <col min="10" max="10" width="23.7109375" style="6" customWidth="1"/>
    <col min="11" max="11" width="24.7109375" style="6" customWidth="1"/>
    <col min="12" max="12" width="20" style="1" customWidth="1"/>
    <col min="13" max="13" width="28.28515625" style="1" bestFit="1" customWidth="1"/>
    <col min="14" max="14" width="14.85546875" style="1" customWidth="1"/>
    <col min="15" max="15" width="17.7109375" style="1" customWidth="1"/>
    <col min="16" max="16" width="16.85546875" style="1" customWidth="1"/>
    <col min="17" max="16384" width="9.140625" style="1"/>
  </cols>
  <sheetData>
    <row r="1" spans="1:15" ht="16.5">
      <c r="A1" s="141"/>
      <c r="B1" s="141"/>
      <c r="C1" s="5"/>
      <c r="D1" s="5"/>
      <c r="E1" s="5"/>
      <c r="F1" s="116"/>
      <c r="G1" s="141"/>
      <c r="H1" s="141"/>
      <c r="I1" s="3"/>
      <c r="J1" s="5"/>
      <c r="K1" s="5"/>
      <c r="L1" s="141"/>
      <c r="M1" s="141"/>
      <c r="N1" s="141"/>
      <c r="O1" s="141"/>
    </row>
    <row r="2" spans="1:15" ht="16.5">
      <c r="A2" s="231"/>
      <c r="B2" s="231"/>
      <c r="C2" s="231"/>
      <c r="D2" s="231"/>
      <c r="E2" s="231"/>
      <c r="F2" s="231"/>
      <c r="G2" s="231"/>
      <c r="H2" s="231"/>
      <c r="I2" s="231"/>
      <c r="J2" s="231"/>
      <c r="K2" s="231"/>
      <c r="L2" s="231"/>
      <c r="M2" s="231"/>
      <c r="N2" s="231"/>
      <c r="O2" s="231"/>
    </row>
    <row r="3" spans="1:15" ht="16.5">
      <c r="A3" s="231"/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</row>
    <row r="4" spans="1:15" ht="16.5">
      <c r="A4" s="231"/>
      <c r="B4" s="231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</row>
    <row r="5" spans="1:15" ht="16.5">
      <c r="A5" s="230" t="s">
        <v>0</v>
      </c>
      <c r="B5" s="230"/>
      <c r="C5" s="230"/>
      <c r="D5" s="230"/>
      <c r="E5" s="230"/>
      <c r="F5" s="230"/>
      <c r="G5" s="230"/>
      <c r="H5" s="230"/>
      <c r="I5" s="230"/>
      <c r="J5" s="230"/>
      <c r="K5" s="230"/>
      <c r="L5" s="230"/>
      <c r="M5" s="230"/>
      <c r="N5" s="230"/>
      <c r="O5" s="230"/>
    </row>
    <row r="6" spans="1:15" ht="16.5">
      <c r="A6" s="230" t="s">
        <v>1</v>
      </c>
      <c r="B6" s="230"/>
      <c r="C6" s="230"/>
      <c r="D6" s="230"/>
      <c r="E6" s="230"/>
      <c r="F6" s="230"/>
      <c r="G6" s="230"/>
      <c r="H6" s="230"/>
      <c r="I6" s="230"/>
      <c r="J6" s="230"/>
      <c r="K6" s="230"/>
      <c r="L6" s="230"/>
      <c r="M6" s="230"/>
      <c r="N6" s="230"/>
      <c r="O6" s="230"/>
    </row>
    <row r="7" spans="1:15" ht="16.5">
      <c r="A7" s="230" t="s">
        <v>2</v>
      </c>
      <c r="B7" s="230"/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0"/>
    </row>
    <row r="8" spans="1:15" ht="16.5">
      <c r="A8" s="229" t="s">
        <v>3</v>
      </c>
      <c r="B8" s="229"/>
      <c r="C8" s="229"/>
      <c r="D8" s="229"/>
      <c r="E8" s="229"/>
      <c r="F8" s="229"/>
      <c r="G8" s="229"/>
      <c r="H8" s="229"/>
      <c r="I8" s="229"/>
      <c r="J8" s="229"/>
      <c r="K8" s="229"/>
      <c r="L8" s="229"/>
      <c r="M8" s="229"/>
      <c r="N8" s="229"/>
      <c r="O8" s="229"/>
    </row>
    <row r="9" spans="1:15" ht="16.5">
      <c r="A9" s="230"/>
      <c r="B9" s="230"/>
      <c r="C9" s="230"/>
      <c r="D9" s="230"/>
      <c r="E9" s="230"/>
      <c r="F9" s="230"/>
      <c r="G9" s="230"/>
      <c r="H9" s="230"/>
      <c r="I9" s="230"/>
      <c r="J9" s="230"/>
      <c r="K9" s="230"/>
      <c r="L9" s="230"/>
      <c r="M9" s="230"/>
      <c r="N9" s="230"/>
      <c r="O9" s="230"/>
    </row>
    <row r="10" spans="1:15" ht="16.5">
      <c r="A10" s="229" t="s">
        <v>469</v>
      </c>
      <c r="B10" s="229"/>
      <c r="C10" s="229"/>
      <c r="D10" s="229"/>
      <c r="E10" s="229"/>
      <c r="F10" s="229"/>
      <c r="G10" s="229"/>
      <c r="H10" s="229"/>
      <c r="I10" s="229"/>
      <c r="J10" s="229"/>
      <c r="K10" s="229"/>
      <c r="L10" s="229"/>
      <c r="M10" s="229"/>
      <c r="N10" s="229"/>
      <c r="O10" s="229"/>
    </row>
    <row r="11" spans="1:15" ht="16.5">
      <c r="A11" s="231"/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</row>
    <row r="12" spans="1:15" ht="16.5">
      <c r="A12" s="228" t="s">
        <v>4</v>
      </c>
      <c r="B12" s="235"/>
      <c r="C12" s="228" t="s">
        <v>5</v>
      </c>
      <c r="D12" s="235" t="s">
        <v>981</v>
      </c>
      <c r="E12" s="228" t="s">
        <v>6</v>
      </c>
      <c r="F12" s="228" t="s">
        <v>7</v>
      </c>
      <c r="G12" s="228" t="s">
        <v>8</v>
      </c>
      <c r="H12" s="228" t="s">
        <v>9</v>
      </c>
      <c r="I12" s="234" t="s">
        <v>10</v>
      </c>
      <c r="J12" s="228" t="s">
        <v>11</v>
      </c>
      <c r="K12" s="228" t="s">
        <v>12</v>
      </c>
      <c r="L12" s="228" t="s">
        <v>13</v>
      </c>
      <c r="M12" s="228"/>
      <c r="N12" s="228" t="s">
        <v>14</v>
      </c>
      <c r="O12" s="228" t="s">
        <v>15</v>
      </c>
    </row>
    <row r="13" spans="1:15" ht="16.5">
      <c r="A13" s="228"/>
      <c r="B13" s="236"/>
      <c r="C13" s="228"/>
      <c r="D13" s="236"/>
      <c r="E13" s="228"/>
      <c r="F13" s="228"/>
      <c r="G13" s="228"/>
      <c r="H13" s="228"/>
      <c r="I13" s="234"/>
      <c r="J13" s="228"/>
      <c r="K13" s="228"/>
      <c r="L13" s="140" t="s">
        <v>16</v>
      </c>
      <c r="M13" s="140" t="s">
        <v>17</v>
      </c>
      <c r="N13" s="228"/>
      <c r="O13" s="228"/>
    </row>
    <row r="14" spans="1:15" ht="49.5">
      <c r="A14" s="22">
        <v>1</v>
      </c>
      <c r="B14" s="22">
        <v>1</v>
      </c>
      <c r="C14" s="23" t="s">
        <v>579</v>
      </c>
      <c r="D14" s="23"/>
      <c r="E14" s="23" t="s">
        <v>25</v>
      </c>
      <c r="F14" s="33"/>
      <c r="G14" s="13" t="s">
        <v>580</v>
      </c>
      <c r="H14" s="13" t="s">
        <v>488</v>
      </c>
      <c r="I14" s="23" t="s">
        <v>259</v>
      </c>
      <c r="J14" s="23" t="s">
        <v>78</v>
      </c>
      <c r="K14" s="23" t="s">
        <v>581</v>
      </c>
      <c r="L14" s="13">
        <v>842859306</v>
      </c>
      <c r="M14" s="13"/>
      <c r="N14" s="13">
        <v>2019</v>
      </c>
      <c r="O14" s="13">
        <v>1</v>
      </c>
    </row>
    <row r="15" spans="1:15" ht="16.5">
      <c r="A15" s="22"/>
      <c r="B15" s="22"/>
      <c r="C15" s="23" t="s">
        <v>451</v>
      </c>
      <c r="D15" s="23"/>
      <c r="E15" s="23" t="s">
        <v>19</v>
      </c>
      <c r="F15" s="33"/>
      <c r="G15" s="13" t="s">
        <v>1186</v>
      </c>
      <c r="H15" s="13"/>
      <c r="I15" s="23" t="s">
        <v>352</v>
      </c>
      <c r="J15" s="23" t="s">
        <v>19</v>
      </c>
      <c r="K15" s="23" t="s">
        <v>1185</v>
      </c>
      <c r="L15" s="13" t="s">
        <v>1187</v>
      </c>
      <c r="M15" s="13"/>
      <c r="N15" s="13"/>
      <c r="O15" s="13">
        <v>48</v>
      </c>
    </row>
    <row r="16" spans="1:15" ht="33">
      <c r="A16" s="22"/>
      <c r="B16" s="22">
        <f>+B14+1</f>
        <v>2</v>
      </c>
      <c r="C16" s="23" t="s">
        <v>23</v>
      </c>
      <c r="D16" s="23"/>
      <c r="E16" s="23" t="s">
        <v>675</v>
      </c>
      <c r="F16" s="33" t="s">
        <v>676</v>
      </c>
      <c r="G16" s="13" t="s">
        <v>677</v>
      </c>
      <c r="H16" s="13" t="s">
        <v>678</v>
      </c>
      <c r="I16" s="23" t="s">
        <v>679</v>
      </c>
      <c r="J16" s="13" t="s">
        <v>680</v>
      </c>
      <c r="K16" s="13" t="s">
        <v>681</v>
      </c>
      <c r="L16" s="13" t="s">
        <v>682</v>
      </c>
      <c r="M16" s="13" t="s">
        <v>524</v>
      </c>
      <c r="N16" s="13">
        <v>2022</v>
      </c>
      <c r="O16" s="13">
        <v>1</v>
      </c>
    </row>
    <row r="17" spans="1:15" ht="50.25" thickBot="1">
      <c r="A17" s="22">
        <v>4</v>
      </c>
      <c r="B17" s="22">
        <f t="shared" ref="B17:B79" si="0">+B16+1</f>
        <v>3</v>
      </c>
      <c r="C17" s="34" t="s">
        <v>536</v>
      </c>
      <c r="D17" s="34"/>
      <c r="E17" s="23"/>
      <c r="F17" s="33" t="s">
        <v>42</v>
      </c>
      <c r="G17" s="13" t="s">
        <v>537</v>
      </c>
      <c r="H17" s="13" t="s">
        <v>538</v>
      </c>
      <c r="I17" s="23" t="s">
        <v>539</v>
      </c>
      <c r="J17" s="13" t="s">
        <v>796</v>
      </c>
      <c r="K17" s="138" t="s">
        <v>540</v>
      </c>
      <c r="L17" s="138" t="s">
        <v>541</v>
      </c>
      <c r="M17" s="13" t="s">
        <v>542</v>
      </c>
      <c r="N17" s="25">
        <v>2021</v>
      </c>
      <c r="O17" s="25">
        <v>1</v>
      </c>
    </row>
    <row r="18" spans="1:15" ht="33">
      <c r="A18" s="22">
        <v>5</v>
      </c>
      <c r="B18" s="22">
        <f t="shared" si="0"/>
        <v>4</v>
      </c>
      <c r="C18" s="23" t="s">
        <v>465</v>
      </c>
      <c r="D18" s="23"/>
      <c r="E18" s="23" t="s">
        <v>624</v>
      </c>
      <c r="F18" s="33" t="s">
        <v>683</v>
      </c>
      <c r="G18" s="126" t="s">
        <v>684</v>
      </c>
      <c r="H18" s="13" t="s">
        <v>685</v>
      </c>
      <c r="I18" s="23" t="s">
        <v>686</v>
      </c>
      <c r="J18" s="23" t="s">
        <v>687</v>
      </c>
      <c r="K18" s="23" t="s">
        <v>688</v>
      </c>
      <c r="L18" s="13" t="s">
        <v>689</v>
      </c>
      <c r="M18" s="13"/>
      <c r="N18" s="13">
        <v>2021</v>
      </c>
      <c r="O18" s="13">
        <v>1</v>
      </c>
    </row>
    <row r="19" spans="1:15" ht="33">
      <c r="A19" s="22">
        <v>6</v>
      </c>
      <c r="B19" s="22">
        <f t="shared" si="0"/>
        <v>5</v>
      </c>
      <c r="C19" s="23" t="s">
        <v>338</v>
      </c>
      <c r="D19" s="23"/>
      <c r="E19" s="23" t="s">
        <v>518</v>
      </c>
      <c r="F19" s="33" t="s">
        <v>298</v>
      </c>
      <c r="G19" s="13" t="s">
        <v>340</v>
      </c>
      <c r="H19" s="13"/>
      <c r="I19" s="23" t="s">
        <v>519</v>
      </c>
      <c r="J19" s="23" t="s">
        <v>520</v>
      </c>
      <c r="K19" s="23" t="s">
        <v>521</v>
      </c>
      <c r="L19" s="13" t="s">
        <v>522</v>
      </c>
      <c r="M19" s="13" t="s">
        <v>339</v>
      </c>
      <c r="N19" s="13"/>
      <c r="O19" s="13">
        <v>1</v>
      </c>
    </row>
    <row r="20" spans="1:15" ht="51.75" customHeight="1">
      <c r="A20" s="22">
        <v>7</v>
      </c>
      <c r="B20" s="22">
        <f t="shared" si="0"/>
        <v>6</v>
      </c>
      <c r="C20" s="23" t="s">
        <v>152</v>
      </c>
      <c r="D20" s="23"/>
      <c r="E20" s="23" t="s">
        <v>720</v>
      </c>
      <c r="F20" s="33" t="s">
        <v>723</v>
      </c>
      <c r="G20" s="23" t="s">
        <v>601</v>
      </c>
      <c r="H20" s="23" t="s">
        <v>63</v>
      </c>
      <c r="I20" s="23" t="s">
        <v>501</v>
      </c>
      <c r="J20" s="23" t="s">
        <v>502</v>
      </c>
      <c r="K20" s="23" t="s">
        <v>721</v>
      </c>
      <c r="L20" s="23" t="s">
        <v>722</v>
      </c>
      <c r="M20" s="23" t="s">
        <v>503</v>
      </c>
      <c r="N20" s="26">
        <v>2020</v>
      </c>
      <c r="O20" s="26">
        <v>1</v>
      </c>
    </row>
    <row r="21" spans="1:15" ht="82.5">
      <c r="A21" s="22">
        <v>9</v>
      </c>
      <c r="B21" s="22">
        <f t="shared" si="0"/>
        <v>7</v>
      </c>
      <c r="C21" s="23" t="s">
        <v>161</v>
      </c>
      <c r="D21" s="23"/>
      <c r="E21" s="23" t="s">
        <v>25</v>
      </c>
      <c r="F21" s="33" t="s">
        <v>63</v>
      </c>
      <c r="G21" s="13" t="s">
        <v>573</v>
      </c>
      <c r="H21" s="13" t="s">
        <v>488</v>
      </c>
      <c r="I21" s="23" t="s">
        <v>593</v>
      </c>
      <c r="J21" s="23" t="s">
        <v>377</v>
      </c>
      <c r="K21" s="23" t="s">
        <v>574</v>
      </c>
      <c r="L21" s="13" t="s">
        <v>162</v>
      </c>
      <c r="M21" s="13" t="s">
        <v>376</v>
      </c>
      <c r="N21" s="13">
        <v>2010</v>
      </c>
      <c r="O21" s="13">
        <v>1</v>
      </c>
    </row>
    <row r="22" spans="1:15" ht="54.75" customHeight="1">
      <c r="A22" s="22">
        <v>10</v>
      </c>
      <c r="B22" s="22">
        <f t="shared" si="0"/>
        <v>8</v>
      </c>
      <c r="C22" s="34" t="s">
        <v>189</v>
      </c>
      <c r="D22" s="34"/>
      <c r="E22" s="41" t="s">
        <v>716</v>
      </c>
      <c r="F22" s="43" t="s">
        <v>63</v>
      </c>
      <c r="G22" s="13" t="s">
        <v>190</v>
      </c>
      <c r="H22" s="13" t="s">
        <v>84</v>
      </c>
      <c r="I22" s="34" t="s">
        <v>717</v>
      </c>
      <c r="J22" s="23" t="s">
        <v>191</v>
      </c>
      <c r="K22" s="34" t="s">
        <v>718</v>
      </c>
      <c r="L22" s="13" t="s">
        <v>719</v>
      </c>
      <c r="M22" s="13" t="s">
        <v>192</v>
      </c>
      <c r="N22" s="41">
        <v>2020</v>
      </c>
      <c r="O22" s="41">
        <v>1</v>
      </c>
    </row>
    <row r="23" spans="1:15" ht="16.5">
      <c r="A23" s="22">
        <v>11</v>
      </c>
      <c r="B23" s="22">
        <f t="shared" si="0"/>
        <v>9</v>
      </c>
      <c r="C23" s="23" t="s">
        <v>634</v>
      </c>
      <c r="D23" s="23"/>
      <c r="E23" s="23" t="s">
        <v>576</v>
      </c>
      <c r="F23" s="33" t="s">
        <v>316</v>
      </c>
      <c r="G23" s="13"/>
      <c r="H23" s="13" t="s">
        <v>634</v>
      </c>
      <c r="I23" s="23" t="s">
        <v>635</v>
      </c>
      <c r="J23" s="23" t="s">
        <v>19</v>
      </c>
      <c r="K23" s="23" t="s">
        <v>636</v>
      </c>
      <c r="L23" s="13">
        <v>848648642</v>
      </c>
      <c r="M23" s="14" t="s">
        <v>637</v>
      </c>
      <c r="N23" s="13">
        <v>2019</v>
      </c>
      <c r="O23" s="13">
        <v>2</v>
      </c>
    </row>
    <row r="24" spans="1:15" ht="33">
      <c r="A24" s="22">
        <v>12</v>
      </c>
      <c r="B24" s="22">
        <f t="shared" si="0"/>
        <v>10</v>
      </c>
      <c r="C24" s="23" t="s">
        <v>631</v>
      </c>
      <c r="D24" s="23"/>
      <c r="E24" s="23" t="s">
        <v>576</v>
      </c>
      <c r="F24" s="33" t="s">
        <v>63</v>
      </c>
      <c r="G24" s="13" t="s">
        <v>205</v>
      </c>
      <c r="H24" s="13" t="s">
        <v>204</v>
      </c>
      <c r="I24" s="23" t="s">
        <v>206</v>
      </c>
      <c r="J24" s="23" t="s">
        <v>632</v>
      </c>
      <c r="K24" s="23" t="s">
        <v>207</v>
      </c>
      <c r="L24" s="13" t="s">
        <v>208</v>
      </c>
      <c r="M24" s="14" t="s">
        <v>633</v>
      </c>
      <c r="N24" s="13">
        <v>2019</v>
      </c>
      <c r="O24" s="13">
        <v>2</v>
      </c>
    </row>
    <row r="25" spans="1:15" ht="33">
      <c r="A25" s="22">
        <v>13</v>
      </c>
      <c r="B25" s="22">
        <f t="shared" si="0"/>
        <v>11</v>
      </c>
      <c r="C25" s="23" t="s">
        <v>588</v>
      </c>
      <c r="D25" s="23"/>
      <c r="E25" s="23" t="s">
        <v>712</v>
      </c>
      <c r="F25" s="33" t="s">
        <v>63</v>
      </c>
      <c r="G25" s="13" t="s">
        <v>589</v>
      </c>
      <c r="H25" s="13" t="s">
        <v>590</v>
      </c>
      <c r="I25" s="23" t="s">
        <v>713</v>
      </c>
      <c r="J25" s="23" t="s">
        <v>284</v>
      </c>
      <c r="K25" s="23" t="s">
        <v>591</v>
      </c>
      <c r="L25" s="13">
        <v>864320561</v>
      </c>
      <c r="M25" s="13" t="s">
        <v>592</v>
      </c>
      <c r="N25" s="13">
        <v>2022</v>
      </c>
      <c r="O25" s="13">
        <v>2</v>
      </c>
    </row>
    <row r="26" spans="1:15" ht="33">
      <c r="A26" s="22">
        <v>15</v>
      </c>
      <c r="B26" s="22">
        <f t="shared" si="0"/>
        <v>12</v>
      </c>
      <c r="C26" s="23" t="s">
        <v>151</v>
      </c>
      <c r="D26" s="23"/>
      <c r="E26" s="23" t="s">
        <v>576</v>
      </c>
      <c r="F26" s="33" t="s">
        <v>63</v>
      </c>
      <c r="G26" s="13"/>
      <c r="H26" s="13" t="s">
        <v>669</v>
      </c>
      <c r="I26" s="23" t="s">
        <v>28</v>
      </c>
      <c r="J26" s="23" t="s">
        <v>670</v>
      </c>
      <c r="K26" s="23" t="s">
        <v>621</v>
      </c>
      <c r="L26" s="13" t="s">
        <v>622</v>
      </c>
      <c r="M26" s="13" t="s">
        <v>371</v>
      </c>
      <c r="N26" s="13">
        <v>2019</v>
      </c>
      <c r="O26" s="13">
        <v>3</v>
      </c>
    </row>
    <row r="27" spans="1:15" ht="49.5">
      <c r="A27" s="22">
        <v>17</v>
      </c>
      <c r="B27" s="22">
        <f t="shared" si="0"/>
        <v>13</v>
      </c>
      <c r="C27" s="23" t="s">
        <v>244</v>
      </c>
      <c r="D27" s="23"/>
      <c r="E27" s="23" t="s">
        <v>576</v>
      </c>
      <c r="F27" s="33" t="s">
        <v>959</v>
      </c>
      <c r="G27" s="13" t="s">
        <v>263</v>
      </c>
      <c r="H27" s="23" t="s">
        <v>638</v>
      </c>
      <c r="I27" s="23" t="s">
        <v>639</v>
      </c>
      <c r="J27" s="23" t="s">
        <v>662</v>
      </c>
      <c r="K27" s="23" t="s">
        <v>640</v>
      </c>
      <c r="L27" s="23">
        <v>844489385</v>
      </c>
      <c r="M27" s="13"/>
      <c r="N27" s="13">
        <v>2021</v>
      </c>
      <c r="O27" s="13">
        <v>3</v>
      </c>
    </row>
    <row r="28" spans="1:15" ht="66">
      <c r="A28" s="22">
        <v>19</v>
      </c>
      <c r="B28" s="22">
        <f t="shared" si="0"/>
        <v>14</v>
      </c>
      <c r="C28" s="23" t="s">
        <v>56</v>
      </c>
      <c r="D28" s="23"/>
      <c r="E28" s="23" t="s">
        <v>523</v>
      </c>
      <c r="F28" s="33" t="s">
        <v>559</v>
      </c>
      <c r="G28" s="13" t="s">
        <v>560</v>
      </c>
      <c r="H28" s="13" t="s">
        <v>561</v>
      </c>
      <c r="I28" s="23" t="s">
        <v>562</v>
      </c>
      <c r="J28" s="13" t="s">
        <v>498</v>
      </c>
      <c r="K28" s="13" t="s">
        <v>563</v>
      </c>
      <c r="L28" s="13" t="s">
        <v>564</v>
      </c>
      <c r="M28" s="13" t="s">
        <v>565</v>
      </c>
      <c r="N28" s="13">
        <v>2010</v>
      </c>
      <c r="O28" s="26">
        <v>4</v>
      </c>
    </row>
    <row r="29" spans="1:15" ht="99">
      <c r="A29" s="22">
        <v>20</v>
      </c>
      <c r="B29" s="22">
        <f t="shared" si="0"/>
        <v>15</v>
      </c>
      <c r="C29" s="23" t="s">
        <v>119</v>
      </c>
      <c r="D29" s="23"/>
      <c r="E29" s="39" t="s">
        <v>484</v>
      </c>
      <c r="F29" s="33" t="s">
        <v>427</v>
      </c>
      <c r="G29" s="13" t="s">
        <v>120</v>
      </c>
      <c r="H29" s="13" t="s">
        <v>485</v>
      </c>
      <c r="I29" s="23" t="s">
        <v>121</v>
      </c>
      <c r="J29" s="23" t="s">
        <v>425</v>
      </c>
      <c r="K29" s="23" t="s">
        <v>426</v>
      </c>
      <c r="L29" s="13" t="s">
        <v>486</v>
      </c>
      <c r="M29" s="13" t="s">
        <v>418</v>
      </c>
      <c r="N29" s="40">
        <v>2022</v>
      </c>
      <c r="O29" s="40">
        <v>4</v>
      </c>
    </row>
    <row r="30" spans="1:15" ht="33">
      <c r="A30" s="22">
        <v>22</v>
      </c>
      <c r="B30" s="22">
        <f t="shared" si="0"/>
        <v>16</v>
      </c>
      <c r="C30" s="23" t="s">
        <v>239</v>
      </c>
      <c r="D30" s="23"/>
      <c r="E30" s="23" t="s">
        <v>25</v>
      </c>
      <c r="F30" s="33" t="s">
        <v>272</v>
      </c>
      <c r="G30" s="13" t="s">
        <v>407</v>
      </c>
      <c r="H30" s="13" t="s">
        <v>654</v>
      </c>
      <c r="I30" s="23" t="s">
        <v>655</v>
      </c>
      <c r="J30" s="23" t="s">
        <v>52</v>
      </c>
      <c r="K30" s="23" t="s">
        <v>405</v>
      </c>
      <c r="L30" s="13" t="s">
        <v>656</v>
      </c>
      <c r="M30" s="13" t="s">
        <v>406</v>
      </c>
      <c r="N30" s="13">
        <v>2014</v>
      </c>
      <c r="O30" s="13">
        <v>4</v>
      </c>
    </row>
    <row r="31" spans="1:15" ht="115.5">
      <c r="A31" s="22">
        <v>23</v>
      </c>
      <c r="B31" s="22">
        <f t="shared" si="0"/>
        <v>17</v>
      </c>
      <c r="C31" s="42" t="s">
        <v>800</v>
      </c>
      <c r="D31" s="42"/>
      <c r="E31" s="42" t="s">
        <v>490</v>
      </c>
      <c r="F31" s="33" t="s">
        <v>122</v>
      </c>
      <c r="G31" s="13" t="s">
        <v>159</v>
      </c>
      <c r="H31" s="23" t="s">
        <v>491</v>
      </c>
      <c r="I31" s="23" t="s">
        <v>799</v>
      </c>
      <c r="J31" s="23" t="s">
        <v>160</v>
      </c>
      <c r="K31" s="42" t="s">
        <v>492</v>
      </c>
      <c r="L31" s="32" t="s">
        <v>493</v>
      </c>
      <c r="M31" s="32" t="s">
        <v>493</v>
      </c>
      <c r="N31" s="32">
        <v>2020</v>
      </c>
      <c r="O31" s="32">
        <v>5</v>
      </c>
    </row>
    <row r="32" spans="1:15" ht="82.5">
      <c r="A32" s="22">
        <v>25</v>
      </c>
      <c r="B32" s="22">
        <f t="shared" si="0"/>
        <v>18</v>
      </c>
      <c r="C32" s="23" t="s">
        <v>255</v>
      </c>
      <c r="D32" s="23"/>
      <c r="E32" s="123" t="s">
        <v>576</v>
      </c>
      <c r="F32" s="33" t="s">
        <v>611</v>
      </c>
      <c r="G32" s="13" t="s">
        <v>253</v>
      </c>
      <c r="H32" s="13" t="s">
        <v>577</v>
      </c>
      <c r="I32" s="23" t="s">
        <v>254</v>
      </c>
      <c r="J32" s="13" t="s">
        <v>612</v>
      </c>
      <c r="K32" s="13" t="s">
        <v>609</v>
      </c>
      <c r="L32" s="13" t="s">
        <v>610</v>
      </c>
      <c r="M32" s="13" t="s">
        <v>578</v>
      </c>
      <c r="N32" s="44">
        <v>2021</v>
      </c>
      <c r="O32" s="13">
        <v>5</v>
      </c>
    </row>
    <row r="33" spans="1:15" ht="49.5">
      <c r="A33" s="22">
        <v>26</v>
      </c>
      <c r="B33" s="22">
        <f t="shared" si="0"/>
        <v>19</v>
      </c>
      <c r="C33" s="23" t="s">
        <v>460</v>
      </c>
      <c r="D33" s="23"/>
      <c r="E33" s="23" t="s">
        <v>528</v>
      </c>
      <c r="F33" s="33" t="s">
        <v>272</v>
      </c>
      <c r="G33" s="13" t="s">
        <v>614</v>
      </c>
      <c r="H33" s="23" t="s">
        <v>525</v>
      </c>
      <c r="I33" s="23" t="s">
        <v>288</v>
      </c>
      <c r="J33" s="23" t="s">
        <v>613</v>
      </c>
      <c r="K33" s="23" t="s">
        <v>526</v>
      </c>
      <c r="L33" s="13" t="s">
        <v>287</v>
      </c>
      <c r="M33" s="16" t="s">
        <v>527</v>
      </c>
      <c r="N33" s="25">
        <v>2020</v>
      </c>
      <c r="O33" s="25">
        <v>7</v>
      </c>
    </row>
    <row r="34" spans="1:15" s="9" customFormat="1" ht="82.5">
      <c r="A34" s="22">
        <v>27</v>
      </c>
      <c r="B34" s="22">
        <f t="shared" si="0"/>
        <v>20</v>
      </c>
      <c r="C34" s="23" t="s">
        <v>71</v>
      </c>
      <c r="D34" s="23"/>
      <c r="E34" s="26" t="s">
        <v>576</v>
      </c>
      <c r="F34" s="33" t="s">
        <v>73</v>
      </c>
      <c r="G34" s="13" t="s">
        <v>72</v>
      </c>
      <c r="H34" s="23" t="s">
        <v>73</v>
      </c>
      <c r="I34" s="23" t="s">
        <v>714</v>
      </c>
      <c r="J34" s="23" t="s">
        <v>618</v>
      </c>
      <c r="K34" s="26" t="s">
        <v>499</v>
      </c>
      <c r="L34" s="30">
        <v>870800282</v>
      </c>
      <c r="M34" s="16" t="s">
        <v>500</v>
      </c>
      <c r="N34" s="30">
        <v>2015</v>
      </c>
      <c r="O34" s="30">
        <v>9</v>
      </c>
    </row>
    <row r="35" spans="1:15" ht="66">
      <c r="A35" s="22">
        <v>29</v>
      </c>
      <c r="B35" s="22">
        <f t="shared" si="0"/>
        <v>21</v>
      </c>
      <c r="C35" s="23" t="s">
        <v>95</v>
      </c>
      <c r="D35" s="23"/>
      <c r="E35" s="23" t="s">
        <v>25</v>
      </c>
      <c r="F35" s="33" t="s">
        <v>715</v>
      </c>
      <c r="G35" s="13" t="s">
        <v>547</v>
      </c>
      <c r="H35" s="13" t="s">
        <v>488</v>
      </c>
      <c r="I35" s="23" t="s">
        <v>37</v>
      </c>
      <c r="J35" s="13" t="s">
        <v>552</v>
      </c>
      <c r="K35" s="13" t="s">
        <v>553</v>
      </c>
      <c r="L35" s="13" t="s">
        <v>554</v>
      </c>
      <c r="M35" s="13" t="s">
        <v>702</v>
      </c>
      <c r="N35" s="13">
        <v>2008</v>
      </c>
      <c r="O35" s="13">
        <v>14</v>
      </c>
    </row>
    <row r="36" spans="1:15" ht="82.5">
      <c r="A36" s="22">
        <v>31</v>
      </c>
      <c r="B36" s="22">
        <f t="shared" si="0"/>
        <v>22</v>
      </c>
      <c r="C36" s="23" t="s">
        <v>113</v>
      </c>
      <c r="D36" s="23"/>
      <c r="E36" s="23" t="s">
        <v>543</v>
      </c>
      <c r="F36" s="33" t="s">
        <v>63</v>
      </c>
      <c r="G36" s="13" t="s">
        <v>555</v>
      </c>
      <c r="H36" s="13" t="s">
        <v>544</v>
      </c>
      <c r="I36" s="23" t="s">
        <v>619</v>
      </c>
      <c r="J36" s="23" t="s">
        <v>545</v>
      </c>
      <c r="K36" s="23" t="s">
        <v>556</v>
      </c>
      <c r="L36" s="13" t="s">
        <v>557</v>
      </c>
      <c r="M36" s="17" t="s">
        <v>558</v>
      </c>
      <c r="N36" s="26">
        <v>2001</v>
      </c>
      <c r="O36" s="26">
        <v>15</v>
      </c>
    </row>
    <row r="37" spans="1:15" ht="82.5">
      <c r="A37" s="22">
        <v>32</v>
      </c>
      <c r="B37" s="22">
        <f t="shared" si="0"/>
        <v>23</v>
      </c>
      <c r="C37" s="23" t="s">
        <v>196</v>
      </c>
      <c r="D37" s="23"/>
      <c r="E37" s="38" t="s">
        <v>25</v>
      </c>
      <c r="F37" s="38" t="s">
        <v>509</v>
      </c>
      <c r="G37" s="13" t="s">
        <v>605</v>
      </c>
      <c r="H37" s="13" t="s">
        <v>509</v>
      </c>
      <c r="I37" s="23" t="s">
        <v>604</v>
      </c>
      <c r="J37" s="23" t="s">
        <v>606</v>
      </c>
      <c r="K37" s="23" t="s">
        <v>607</v>
      </c>
      <c r="L37" s="23" t="s">
        <v>608</v>
      </c>
      <c r="M37" s="18" t="s">
        <v>510</v>
      </c>
      <c r="N37" s="26">
        <v>2015</v>
      </c>
      <c r="O37" s="41">
        <v>15</v>
      </c>
    </row>
    <row r="38" spans="1:15" ht="52.5" customHeight="1">
      <c r="A38" s="22">
        <v>33</v>
      </c>
      <c r="B38" s="22">
        <f t="shared" si="0"/>
        <v>24</v>
      </c>
      <c r="C38" s="23" t="s">
        <v>232</v>
      </c>
      <c r="D38" s="23"/>
      <c r="E38" s="23" t="s">
        <v>25</v>
      </c>
      <c r="F38" s="33" t="s">
        <v>35</v>
      </c>
      <c r="G38" s="127" t="s">
        <v>570</v>
      </c>
      <c r="H38" s="13" t="s">
        <v>488</v>
      </c>
      <c r="I38" s="23" t="s">
        <v>729</v>
      </c>
      <c r="J38" s="23" t="s">
        <v>763</v>
      </c>
      <c r="K38" s="23" t="s">
        <v>571</v>
      </c>
      <c r="L38" s="13" t="s">
        <v>572</v>
      </c>
      <c r="M38" s="13"/>
      <c r="N38" s="13">
        <v>2012</v>
      </c>
      <c r="O38" s="13">
        <v>15</v>
      </c>
    </row>
    <row r="39" spans="1:15" ht="49.5">
      <c r="A39" s="22">
        <v>35</v>
      </c>
      <c r="B39" s="22">
        <f t="shared" si="0"/>
        <v>25</v>
      </c>
      <c r="C39" s="23" t="s">
        <v>127</v>
      </c>
      <c r="D39" s="23"/>
      <c r="E39" s="23" t="s">
        <v>615</v>
      </c>
      <c r="F39" s="33" t="s">
        <v>73</v>
      </c>
      <c r="G39" s="13" t="s">
        <v>692</v>
      </c>
      <c r="H39" s="13" t="s">
        <v>657</v>
      </c>
      <c r="I39" s="23" t="s">
        <v>128</v>
      </c>
      <c r="J39" s="23" t="s">
        <v>762</v>
      </c>
      <c r="K39" s="23"/>
      <c r="L39" s="13"/>
      <c r="M39" s="13"/>
      <c r="N39" s="13">
        <v>1997</v>
      </c>
      <c r="O39" s="13">
        <v>16</v>
      </c>
    </row>
    <row r="40" spans="1:15" ht="49.5">
      <c r="A40" s="22">
        <v>36</v>
      </c>
      <c r="B40" s="22">
        <f t="shared" si="0"/>
        <v>26</v>
      </c>
      <c r="C40" s="23" t="s">
        <v>57</v>
      </c>
      <c r="D40" s="23"/>
      <c r="E40" s="29" t="s">
        <v>487</v>
      </c>
      <c r="F40" s="33" t="s">
        <v>35</v>
      </c>
      <c r="G40" s="28" t="s">
        <v>533</v>
      </c>
      <c r="H40" s="13" t="s">
        <v>567</v>
      </c>
      <c r="I40" s="23" t="s">
        <v>259</v>
      </c>
      <c r="J40" s="13" t="s">
        <v>534</v>
      </c>
      <c r="K40" s="13" t="s">
        <v>568</v>
      </c>
      <c r="L40" s="13" t="s">
        <v>569</v>
      </c>
      <c r="M40" s="13" t="s">
        <v>535</v>
      </c>
      <c r="N40" s="13">
        <v>2019</v>
      </c>
      <c r="O40" s="28">
        <v>17</v>
      </c>
    </row>
    <row r="41" spans="1:15" ht="65.25" customHeight="1">
      <c r="A41" s="22">
        <v>37</v>
      </c>
      <c r="B41" s="22">
        <f t="shared" si="0"/>
        <v>27</v>
      </c>
      <c r="C41" s="23" t="s">
        <v>489</v>
      </c>
      <c r="D41" s="23"/>
      <c r="E41" s="29" t="s">
        <v>546</v>
      </c>
      <c r="F41" s="26" t="s">
        <v>63</v>
      </c>
      <c r="G41" s="13" t="s">
        <v>547</v>
      </c>
      <c r="H41" s="28" t="s">
        <v>548</v>
      </c>
      <c r="I41" s="23" t="s">
        <v>37</v>
      </c>
      <c r="J41" s="23" t="s">
        <v>566</v>
      </c>
      <c r="K41" s="29" t="s">
        <v>549</v>
      </c>
      <c r="L41" s="28" t="s">
        <v>550</v>
      </c>
      <c r="M41" s="14" t="s">
        <v>551</v>
      </c>
      <c r="N41" s="28">
        <v>2014</v>
      </c>
      <c r="O41" s="26">
        <v>17</v>
      </c>
    </row>
    <row r="42" spans="1:15" ht="33">
      <c r="A42" s="22">
        <v>38</v>
      </c>
      <c r="B42" s="22">
        <f t="shared" si="0"/>
        <v>28</v>
      </c>
      <c r="C42" s="23" t="s">
        <v>451</v>
      </c>
      <c r="D42" s="23"/>
      <c r="E42" s="23" t="s">
        <v>784</v>
      </c>
      <c r="F42" s="33" t="s">
        <v>785</v>
      </c>
      <c r="G42" s="13" t="s">
        <v>452</v>
      </c>
      <c r="H42" s="13" t="s">
        <v>786</v>
      </c>
      <c r="I42" s="23" t="s">
        <v>453</v>
      </c>
      <c r="J42" s="23" t="s">
        <v>19</v>
      </c>
      <c r="K42" s="23" t="s">
        <v>787</v>
      </c>
      <c r="L42" s="13" t="s">
        <v>783</v>
      </c>
      <c r="M42" s="13"/>
      <c r="N42" s="13">
        <v>2014</v>
      </c>
      <c r="O42" s="13">
        <v>24</v>
      </c>
    </row>
    <row r="43" spans="1:15" ht="49.5">
      <c r="A43" s="22">
        <v>39</v>
      </c>
      <c r="B43" s="22">
        <f t="shared" si="0"/>
        <v>29</v>
      </c>
      <c r="C43" s="23" t="s">
        <v>328</v>
      </c>
      <c r="D43" s="23"/>
      <c r="E43" s="23" t="s">
        <v>961</v>
      </c>
      <c r="F43" s="33" t="s">
        <v>329</v>
      </c>
      <c r="G43" s="13" t="s">
        <v>330</v>
      </c>
      <c r="H43" s="13"/>
      <c r="I43" s="23" t="s">
        <v>962</v>
      </c>
      <c r="J43" s="23" t="s">
        <v>52</v>
      </c>
      <c r="K43" s="23" t="s">
        <v>963</v>
      </c>
      <c r="L43" s="13">
        <v>858299500</v>
      </c>
      <c r="M43" s="120" t="s">
        <v>964</v>
      </c>
      <c r="N43" s="13" t="s">
        <v>965</v>
      </c>
      <c r="O43" s="13">
        <v>27</v>
      </c>
    </row>
    <row r="44" spans="1:15" ht="49.5">
      <c r="A44" s="22">
        <v>40</v>
      </c>
      <c r="B44" s="22">
        <f t="shared" si="0"/>
        <v>30</v>
      </c>
      <c r="C44" s="23" t="s">
        <v>281</v>
      </c>
      <c r="D44" s="142"/>
      <c r="E44" s="23" t="s">
        <v>658</v>
      </c>
      <c r="F44" s="33" t="s">
        <v>63</v>
      </c>
      <c r="G44" s="13" t="s">
        <v>782</v>
      </c>
      <c r="H44" s="13" t="s">
        <v>488</v>
      </c>
      <c r="I44" s="23" t="s">
        <v>781</v>
      </c>
      <c r="J44" s="23" t="s">
        <v>761</v>
      </c>
      <c r="K44" s="23" t="s">
        <v>282</v>
      </c>
      <c r="L44" s="13" t="s">
        <v>984</v>
      </c>
      <c r="M44" s="13" t="s">
        <v>283</v>
      </c>
      <c r="N44" s="13">
        <v>2002</v>
      </c>
      <c r="O44" s="13">
        <v>32</v>
      </c>
    </row>
    <row r="45" spans="1:15" ht="49.5">
      <c r="A45" s="22">
        <v>42</v>
      </c>
      <c r="B45" s="22">
        <f t="shared" si="0"/>
        <v>31</v>
      </c>
      <c r="C45" s="23" t="s">
        <v>177</v>
      </c>
      <c r="D45" s="142"/>
      <c r="E45" s="23" t="s">
        <v>387</v>
      </c>
      <c r="F45" s="33" t="s">
        <v>178</v>
      </c>
      <c r="G45" s="23" t="s">
        <v>693</v>
      </c>
      <c r="H45" s="23" t="s">
        <v>345</v>
      </c>
      <c r="I45" s="23" t="s">
        <v>648</v>
      </c>
      <c r="J45" s="23" t="s">
        <v>694</v>
      </c>
      <c r="K45" s="23" t="s">
        <v>179</v>
      </c>
      <c r="L45" s="13" t="s">
        <v>180</v>
      </c>
      <c r="M45" s="13" t="s">
        <v>386</v>
      </c>
      <c r="N45" s="13">
        <v>2003</v>
      </c>
      <c r="O45" s="13">
        <v>36</v>
      </c>
    </row>
    <row r="46" spans="1:15" ht="69" customHeight="1">
      <c r="A46" s="22">
        <v>43</v>
      </c>
      <c r="B46" s="22">
        <f t="shared" si="0"/>
        <v>32</v>
      </c>
      <c r="C46" s="23" t="s">
        <v>41</v>
      </c>
      <c r="D46" s="142"/>
      <c r="E46" s="23" t="s">
        <v>649</v>
      </c>
      <c r="F46" s="33" t="s">
        <v>42</v>
      </c>
      <c r="G46" s="13" t="s">
        <v>43</v>
      </c>
      <c r="H46" s="13" t="s">
        <v>650</v>
      </c>
      <c r="I46" s="23" t="s">
        <v>651</v>
      </c>
      <c r="J46" s="23" t="s">
        <v>652</v>
      </c>
      <c r="K46" s="23" t="s">
        <v>653</v>
      </c>
      <c r="L46" s="13" t="s">
        <v>44</v>
      </c>
      <c r="M46" s="19" t="s">
        <v>267</v>
      </c>
      <c r="N46" s="13">
        <v>2012</v>
      </c>
      <c r="O46" s="13">
        <v>37</v>
      </c>
    </row>
    <row r="47" spans="1:15" ht="66">
      <c r="A47" s="22">
        <v>44</v>
      </c>
      <c r="B47" s="22">
        <f t="shared" si="0"/>
        <v>33</v>
      </c>
      <c r="C47" s="23" t="s">
        <v>355</v>
      </c>
      <c r="D47" s="142"/>
      <c r="E47" s="23" t="s">
        <v>615</v>
      </c>
      <c r="F47" s="33" t="s">
        <v>63</v>
      </c>
      <c r="G47" s="13" t="s">
        <v>356</v>
      </c>
      <c r="H47" s="13" t="s">
        <v>488</v>
      </c>
      <c r="I47" s="23" t="s">
        <v>317</v>
      </c>
      <c r="J47" s="23" t="s">
        <v>289</v>
      </c>
      <c r="K47" s="23" t="s">
        <v>779</v>
      </c>
      <c r="L47" s="13">
        <v>862672428</v>
      </c>
      <c r="M47" s="14" t="s">
        <v>780</v>
      </c>
      <c r="N47" s="13">
        <v>2021</v>
      </c>
      <c r="O47" s="13">
        <v>37</v>
      </c>
    </row>
    <row r="48" spans="1:15" ht="38.25" customHeight="1">
      <c r="A48" s="22">
        <v>46</v>
      </c>
      <c r="B48" s="22">
        <f t="shared" si="0"/>
        <v>34</v>
      </c>
      <c r="C48" s="50" t="s">
        <v>80</v>
      </c>
      <c r="D48" s="143"/>
      <c r="E48" s="32" t="s">
        <v>753</v>
      </c>
      <c r="F48" s="33" t="s">
        <v>35</v>
      </c>
      <c r="G48" s="13" t="s">
        <v>81</v>
      </c>
      <c r="H48" s="13" t="s">
        <v>82</v>
      </c>
      <c r="I48" s="23" t="s">
        <v>494</v>
      </c>
      <c r="J48" s="23" t="s">
        <v>495</v>
      </c>
      <c r="K48" s="23" t="s">
        <v>419</v>
      </c>
      <c r="L48" s="31" t="s">
        <v>496</v>
      </c>
      <c r="M48" s="16" t="s">
        <v>497</v>
      </c>
      <c r="N48" s="33">
        <v>2001</v>
      </c>
      <c r="O48" s="33">
        <v>62</v>
      </c>
    </row>
    <row r="49" spans="1:20" ht="49.5">
      <c r="A49" s="22">
        <v>47</v>
      </c>
      <c r="B49" s="22">
        <f t="shared" si="0"/>
        <v>35</v>
      </c>
      <c r="C49" s="50" t="s">
        <v>187</v>
      </c>
      <c r="D49" s="143"/>
      <c r="E49" s="23" t="s">
        <v>748</v>
      </c>
      <c r="F49" s="117" t="s">
        <v>345</v>
      </c>
      <c r="G49" s="13" t="s">
        <v>188</v>
      </c>
      <c r="H49" s="134" t="s">
        <v>178</v>
      </c>
      <c r="I49" s="23" t="s">
        <v>776</v>
      </c>
      <c r="J49" s="23" t="s">
        <v>777</v>
      </c>
      <c r="K49" s="23" t="s">
        <v>575</v>
      </c>
      <c r="L49" s="13" t="s">
        <v>778</v>
      </c>
      <c r="M49" s="13" t="s">
        <v>393</v>
      </c>
      <c r="N49" s="13">
        <v>2002</v>
      </c>
      <c r="O49" s="13">
        <v>95</v>
      </c>
    </row>
    <row r="50" spans="1:20" ht="16.5">
      <c r="A50" s="22"/>
      <c r="B50" s="22">
        <f t="shared" si="0"/>
        <v>36</v>
      </c>
      <c r="C50" s="23" t="s">
        <v>627</v>
      </c>
      <c r="D50" s="23"/>
      <c r="E50" s="23" t="s">
        <v>284</v>
      </c>
      <c r="F50" s="33" t="s">
        <v>628</v>
      </c>
      <c r="G50" s="13"/>
      <c r="H50" s="13" t="s">
        <v>628</v>
      </c>
      <c r="I50" s="23" t="s">
        <v>28</v>
      </c>
      <c r="J50" s="13" t="s">
        <v>629</v>
      </c>
      <c r="K50" s="13" t="s">
        <v>630</v>
      </c>
      <c r="L50" s="13"/>
      <c r="M50" s="13"/>
      <c r="N50" s="13">
        <v>2018</v>
      </c>
      <c r="O50" s="13">
        <v>600</v>
      </c>
    </row>
    <row r="51" spans="1:20" ht="99">
      <c r="A51" s="22">
        <v>48</v>
      </c>
      <c r="B51" s="22">
        <f t="shared" si="0"/>
        <v>37</v>
      </c>
      <c r="C51" s="50" t="s">
        <v>459</v>
      </c>
      <c r="D51" s="50"/>
      <c r="E51" s="23" t="s">
        <v>25</v>
      </c>
      <c r="F51" s="117" t="s">
        <v>261</v>
      </c>
      <c r="G51" s="13" t="s">
        <v>262</v>
      </c>
      <c r="H51" s="13"/>
      <c r="I51" s="23" t="s">
        <v>728</v>
      </c>
      <c r="J51" s="23" t="s">
        <v>470</v>
      </c>
      <c r="K51" s="23" t="s">
        <v>727</v>
      </c>
      <c r="L51" s="13" t="s">
        <v>260</v>
      </c>
      <c r="M51" s="13"/>
      <c r="N51" s="13"/>
      <c r="O51" s="13"/>
    </row>
    <row r="52" spans="1:20" ht="33">
      <c r="A52" s="22">
        <v>49</v>
      </c>
      <c r="B52" s="22">
        <f t="shared" si="0"/>
        <v>38</v>
      </c>
      <c r="C52" s="50" t="s">
        <v>20</v>
      </c>
      <c r="D52" s="50"/>
      <c r="E52" s="23"/>
      <c r="F52" s="117" t="s">
        <v>659</v>
      </c>
      <c r="G52" s="13" t="s">
        <v>582</v>
      </c>
      <c r="H52" s="13"/>
      <c r="I52" s="23" t="s">
        <v>660</v>
      </c>
      <c r="J52" s="23" t="s">
        <v>661</v>
      </c>
      <c r="K52" s="137" t="s">
        <v>583</v>
      </c>
      <c r="L52" s="137"/>
      <c r="M52" s="13"/>
      <c r="N52" s="13">
        <v>2020</v>
      </c>
      <c r="O52" s="13"/>
    </row>
    <row r="53" spans="1:20" ht="16.5">
      <c r="A53" s="22">
        <v>50</v>
      </c>
      <c r="B53" s="22">
        <f t="shared" si="0"/>
        <v>39</v>
      </c>
      <c r="C53" s="50" t="s">
        <v>24</v>
      </c>
      <c r="D53" s="50"/>
      <c r="E53" s="23"/>
      <c r="F53" s="117"/>
      <c r="G53" s="20"/>
      <c r="H53" s="13"/>
      <c r="I53" s="23" t="s">
        <v>22</v>
      </c>
      <c r="J53" s="23" t="s">
        <v>25</v>
      </c>
      <c r="K53" s="23"/>
      <c r="L53" s="13"/>
      <c r="M53" s="13"/>
      <c r="N53" s="13"/>
      <c r="O53" s="13"/>
    </row>
    <row r="54" spans="1:20" ht="66">
      <c r="A54" s="22">
        <v>51</v>
      </c>
      <c r="B54" s="22">
        <f t="shared" si="0"/>
        <v>40</v>
      </c>
      <c r="C54" s="50" t="s">
        <v>26</v>
      </c>
      <c r="D54" s="143"/>
      <c r="E54" s="23"/>
      <c r="F54" s="117" t="s">
        <v>454</v>
      </c>
      <c r="G54" s="13" t="s">
        <v>27</v>
      </c>
      <c r="H54" s="13"/>
      <c r="I54" s="23" t="s">
        <v>28</v>
      </c>
      <c r="J54" s="23" t="s">
        <v>455</v>
      </c>
      <c r="K54" s="23" t="s">
        <v>264</v>
      </c>
      <c r="L54" s="13" t="s">
        <v>265</v>
      </c>
      <c r="M54" s="13" t="s">
        <v>266</v>
      </c>
      <c r="N54" s="13"/>
      <c r="O54" s="13"/>
    </row>
    <row r="55" spans="1:20" ht="16.5">
      <c r="A55" s="22">
        <v>52</v>
      </c>
      <c r="B55" s="22">
        <f t="shared" si="0"/>
        <v>41</v>
      </c>
      <c r="C55" s="50" t="s">
        <v>31</v>
      </c>
      <c r="D55" s="50"/>
      <c r="E55" s="23"/>
      <c r="F55" s="117"/>
      <c r="G55" s="13"/>
      <c r="H55" s="13"/>
      <c r="I55" s="23" t="s">
        <v>595</v>
      </c>
      <c r="J55" s="23" t="s">
        <v>32</v>
      </c>
      <c r="K55" s="23"/>
      <c r="L55" s="13"/>
      <c r="M55" s="13"/>
      <c r="N55" s="13"/>
      <c r="O55" s="13"/>
    </row>
    <row r="56" spans="1:20" ht="66">
      <c r="A56" s="22">
        <v>53</v>
      </c>
      <c r="B56" s="22">
        <f t="shared" si="0"/>
        <v>42</v>
      </c>
      <c r="C56" s="50" t="s">
        <v>792</v>
      </c>
      <c r="D56" s="50"/>
      <c r="E56" s="23"/>
      <c r="F56" s="117" t="s">
        <v>45</v>
      </c>
      <c r="G56" s="13" t="s">
        <v>46</v>
      </c>
      <c r="H56" s="13"/>
      <c r="I56" s="23" t="s">
        <v>28</v>
      </c>
      <c r="J56" s="23" t="s">
        <v>47</v>
      </c>
      <c r="K56" s="23"/>
      <c r="L56" s="13"/>
      <c r="M56" s="13"/>
      <c r="N56" s="13"/>
      <c r="O56" s="13"/>
    </row>
    <row r="57" spans="1:20" ht="16.5">
      <c r="A57" s="22">
        <v>54</v>
      </c>
      <c r="B57" s="22">
        <f t="shared" si="0"/>
        <v>43</v>
      </c>
      <c r="C57" s="50" t="s">
        <v>269</v>
      </c>
      <c r="D57" s="50"/>
      <c r="E57" s="23"/>
      <c r="F57" s="117" t="s">
        <v>272</v>
      </c>
      <c r="G57" s="13" t="s">
        <v>273</v>
      </c>
      <c r="H57" s="13"/>
      <c r="I57" s="23" t="s">
        <v>259</v>
      </c>
      <c r="J57" s="23" t="s">
        <v>25</v>
      </c>
      <c r="K57" s="23" t="s">
        <v>270</v>
      </c>
      <c r="L57" s="13">
        <v>840249787</v>
      </c>
      <c r="M57" s="13" t="s">
        <v>271</v>
      </c>
      <c r="N57" s="13"/>
      <c r="O57" s="13"/>
    </row>
    <row r="58" spans="1:20" ht="70.5" customHeight="1">
      <c r="A58" s="22">
        <v>56</v>
      </c>
      <c r="B58" s="22">
        <f t="shared" si="0"/>
        <v>44</v>
      </c>
      <c r="C58" s="50" t="s">
        <v>33</v>
      </c>
      <c r="D58" s="50"/>
      <c r="E58" s="23" t="s">
        <v>34</v>
      </c>
      <c r="F58" s="117" t="s">
        <v>35</v>
      </c>
      <c r="G58" s="13" t="s">
        <v>36</v>
      </c>
      <c r="H58" s="13"/>
      <c r="I58" s="23" t="s">
        <v>37</v>
      </c>
      <c r="J58" s="23" t="s">
        <v>38</v>
      </c>
      <c r="K58" s="23" t="s">
        <v>39</v>
      </c>
      <c r="L58" s="13">
        <v>876894769</v>
      </c>
      <c r="M58" s="13" t="s">
        <v>40</v>
      </c>
      <c r="N58" s="13"/>
      <c r="O58" s="13"/>
    </row>
    <row r="59" spans="1:20" ht="82.5">
      <c r="A59" s="22">
        <v>57</v>
      </c>
      <c r="B59" s="22">
        <f t="shared" si="0"/>
        <v>45</v>
      </c>
      <c r="C59" s="50" t="s">
        <v>793</v>
      </c>
      <c r="D59" s="144"/>
      <c r="E59" s="115"/>
      <c r="F59" s="117" t="s">
        <v>48</v>
      </c>
      <c r="G59" s="13" t="s">
        <v>49</v>
      </c>
      <c r="H59" s="13"/>
      <c r="I59" s="23" t="s">
        <v>734</v>
      </c>
      <c r="J59" s="23" t="s">
        <v>19</v>
      </c>
      <c r="K59" s="23" t="s">
        <v>735</v>
      </c>
      <c r="L59" s="13" t="s">
        <v>736</v>
      </c>
      <c r="M59" s="14" t="s">
        <v>474</v>
      </c>
      <c r="N59" s="13">
        <v>2015</v>
      </c>
      <c r="O59" s="13"/>
    </row>
    <row r="60" spans="1:20" ht="66">
      <c r="A60" s="22">
        <v>58</v>
      </c>
      <c r="B60" s="22">
        <f t="shared" si="0"/>
        <v>46</v>
      </c>
      <c r="C60" s="50" t="s">
        <v>274</v>
      </c>
      <c r="D60" s="143"/>
      <c r="E60" s="23"/>
      <c r="F60" s="117" t="s">
        <v>35</v>
      </c>
      <c r="G60" s="13" t="s">
        <v>279</v>
      </c>
      <c r="H60" s="13"/>
      <c r="I60" s="23" t="s">
        <v>278</v>
      </c>
      <c r="J60" s="23" t="s">
        <v>280</v>
      </c>
      <c r="K60" s="23" t="s">
        <v>275</v>
      </c>
      <c r="L60" s="13" t="s">
        <v>276</v>
      </c>
      <c r="M60" s="13" t="s">
        <v>277</v>
      </c>
      <c r="N60" s="13"/>
      <c r="O60" s="13"/>
    </row>
    <row r="61" spans="1:20" ht="16.5">
      <c r="A61" s="22">
        <v>59</v>
      </c>
      <c r="B61" s="22">
        <f t="shared" si="0"/>
        <v>47</v>
      </c>
      <c r="C61" s="23" t="s">
        <v>50</v>
      </c>
      <c r="D61" s="23"/>
      <c r="E61" s="23"/>
      <c r="F61" s="33"/>
      <c r="G61" s="13"/>
      <c r="H61" s="13"/>
      <c r="I61" s="23" t="s">
        <v>28</v>
      </c>
      <c r="J61" s="23" t="s">
        <v>51</v>
      </c>
      <c r="K61" s="23"/>
      <c r="L61" s="13"/>
      <c r="M61" s="13"/>
      <c r="N61" s="13"/>
      <c r="O61" s="13"/>
      <c r="P61" s="13"/>
      <c r="Q61" s="13"/>
      <c r="R61" s="13"/>
      <c r="S61" s="13"/>
      <c r="T61" s="13"/>
    </row>
    <row r="62" spans="1:20" ht="33">
      <c r="A62" s="22">
        <v>60</v>
      </c>
      <c r="B62" s="22">
        <f t="shared" si="0"/>
        <v>48</v>
      </c>
      <c r="C62" s="23" t="s">
        <v>285</v>
      </c>
      <c r="D62" s="23"/>
      <c r="E62" s="23"/>
      <c r="F62" s="33"/>
      <c r="G62" s="13"/>
      <c r="H62" s="13"/>
      <c r="I62" s="23"/>
      <c r="J62" s="23" t="s">
        <v>286</v>
      </c>
      <c r="K62" s="23"/>
      <c r="L62" s="13"/>
      <c r="M62" s="13"/>
      <c r="N62" s="13"/>
      <c r="O62" s="13"/>
      <c r="P62" s="13"/>
      <c r="Q62" s="13"/>
      <c r="R62" s="13"/>
      <c r="S62" s="13"/>
      <c r="T62" s="13"/>
    </row>
    <row r="63" spans="1:20" ht="16.5">
      <c r="A63" s="22">
        <v>61</v>
      </c>
      <c r="B63" s="22">
        <f t="shared" si="0"/>
        <v>49</v>
      </c>
      <c r="C63" s="23" t="s">
        <v>53</v>
      </c>
      <c r="D63" s="110"/>
      <c r="E63" s="110"/>
      <c r="F63" s="33"/>
      <c r="G63" s="13"/>
      <c r="H63" s="13"/>
      <c r="I63" s="23" t="s">
        <v>54</v>
      </c>
      <c r="J63" s="23" t="s">
        <v>55</v>
      </c>
      <c r="K63" s="23"/>
      <c r="L63" s="13"/>
      <c r="M63" s="13"/>
      <c r="N63" s="13"/>
      <c r="O63" s="13"/>
    </row>
    <row r="64" spans="1:20" ht="87" customHeight="1">
      <c r="A64" s="22">
        <v>62</v>
      </c>
      <c r="B64" s="22">
        <f t="shared" si="0"/>
        <v>50</v>
      </c>
      <c r="C64" s="50" t="s">
        <v>462</v>
      </c>
      <c r="D64" s="50"/>
      <c r="E64" s="23"/>
      <c r="F64" s="117" t="s">
        <v>302</v>
      </c>
      <c r="G64" s="13" t="s">
        <v>304</v>
      </c>
      <c r="H64" s="13"/>
      <c r="I64" s="23" t="s">
        <v>303</v>
      </c>
      <c r="J64" s="23" t="s">
        <v>305</v>
      </c>
      <c r="K64" s="23" t="s">
        <v>300</v>
      </c>
      <c r="L64" s="13">
        <v>827231511</v>
      </c>
      <c r="M64" s="13"/>
      <c r="N64" s="13"/>
      <c r="O64" s="13"/>
    </row>
    <row r="65" spans="1:15" ht="49.5">
      <c r="A65" s="22">
        <v>64</v>
      </c>
      <c r="B65" s="22">
        <f t="shared" si="0"/>
        <v>51</v>
      </c>
      <c r="C65" s="23" t="s">
        <v>59</v>
      </c>
      <c r="D65" s="142"/>
      <c r="E65" s="23"/>
      <c r="F65" s="33" t="s">
        <v>63</v>
      </c>
      <c r="G65" s="13" t="s">
        <v>473</v>
      </c>
      <c r="H65" s="13"/>
      <c r="I65" s="23" t="s">
        <v>768</v>
      </c>
      <c r="J65" s="23" t="s">
        <v>763</v>
      </c>
      <c r="K65" s="23" t="s">
        <v>61</v>
      </c>
      <c r="L65" s="13" t="s">
        <v>769</v>
      </c>
      <c r="M65" s="13" t="s">
        <v>62</v>
      </c>
      <c r="N65" s="13"/>
      <c r="O65" s="13"/>
    </row>
    <row r="66" spans="1:15" ht="33">
      <c r="A66" s="22">
        <v>65</v>
      </c>
      <c r="B66" s="22">
        <f t="shared" si="0"/>
        <v>52</v>
      </c>
      <c r="C66" s="23" t="s">
        <v>290</v>
      </c>
      <c r="D66" s="23"/>
      <c r="E66" s="23"/>
      <c r="F66" s="33" t="s">
        <v>272</v>
      </c>
      <c r="G66" s="13" t="s">
        <v>294</v>
      </c>
      <c r="H66" s="13"/>
      <c r="I66" s="23" t="s">
        <v>293</v>
      </c>
      <c r="J66" s="23" t="s">
        <v>295</v>
      </c>
      <c r="K66" s="23" t="s">
        <v>291</v>
      </c>
      <c r="L66" s="13">
        <v>829128568</v>
      </c>
      <c r="M66" s="13" t="s">
        <v>292</v>
      </c>
      <c r="N66" s="13"/>
      <c r="O66" s="13"/>
    </row>
    <row r="67" spans="1:15" ht="66">
      <c r="A67" s="22">
        <v>67</v>
      </c>
      <c r="B67" s="22">
        <f t="shared" si="0"/>
        <v>53</v>
      </c>
      <c r="C67" s="23" t="s">
        <v>64</v>
      </c>
      <c r="D67" s="110"/>
      <c r="E67" s="110"/>
      <c r="F67" s="33" t="s">
        <v>742</v>
      </c>
      <c r="G67" s="13" t="s">
        <v>60</v>
      </c>
      <c r="H67" s="13"/>
      <c r="I67" s="23" t="s">
        <v>37</v>
      </c>
      <c r="J67" s="23" t="s">
        <v>65</v>
      </c>
      <c r="K67" s="23" t="s">
        <v>66</v>
      </c>
      <c r="L67" s="13">
        <v>823075401</v>
      </c>
      <c r="M67" s="13" t="s">
        <v>297</v>
      </c>
      <c r="N67" s="13"/>
      <c r="O67" s="13"/>
    </row>
    <row r="68" spans="1:15" ht="27.75" customHeight="1">
      <c r="A68" s="22">
        <v>69</v>
      </c>
      <c r="B68" s="22">
        <f t="shared" si="0"/>
        <v>54</v>
      </c>
      <c r="C68" s="50" t="s">
        <v>461</v>
      </c>
      <c r="D68" s="49"/>
      <c r="E68" s="115"/>
      <c r="F68" s="117" t="s">
        <v>298</v>
      </c>
      <c r="G68" s="13" t="s">
        <v>299</v>
      </c>
      <c r="H68" s="13"/>
      <c r="I68" s="23" t="s">
        <v>37</v>
      </c>
      <c r="J68" s="23" t="s">
        <v>25</v>
      </c>
      <c r="K68" s="23" t="s">
        <v>296</v>
      </c>
      <c r="L68" s="13" t="s">
        <v>756</v>
      </c>
      <c r="M68" s="13"/>
      <c r="N68" s="13"/>
      <c r="O68" s="13"/>
    </row>
    <row r="69" spans="1:15" ht="49.5">
      <c r="A69" s="22">
        <v>70</v>
      </c>
      <c r="B69" s="22">
        <f t="shared" si="0"/>
        <v>55</v>
      </c>
      <c r="C69" s="23" t="s">
        <v>67</v>
      </c>
      <c r="D69" s="23"/>
      <c r="E69" s="23"/>
      <c r="F69" s="33" t="s">
        <v>35</v>
      </c>
      <c r="G69" s="13" t="s">
        <v>68</v>
      </c>
      <c r="H69" s="13"/>
      <c r="I69" s="23" t="s">
        <v>69</v>
      </c>
      <c r="J69" s="23" t="s">
        <v>429</v>
      </c>
      <c r="K69" s="23" t="s">
        <v>58</v>
      </c>
      <c r="L69" s="13" t="s">
        <v>70</v>
      </c>
      <c r="M69" s="15" t="s">
        <v>301</v>
      </c>
      <c r="N69" s="13"/>
      <c r="O69" s="13"/>
    </row>
    <row r="70" spans="1:15" ht="72" customHeight="1" thickBot="1">
      <c r="A70" s="22"/>
      <c r="B70" s="22">
        <f t="shared" si="0"/>
        <v>56</v>
      </c>
      <c r="C70" s="110" t="s">
        <v>463</v>
      </c>
      <c r="D70" s="110"/>
      <c r="E70" s="23"/>
      <c r="F70" s="33"/>
      <c r="G70" s="13" t="s">
        <v>307</v>
      </c>
      <c r="H70" s="13"/>
      <c r="I70" s="23" t="s">
        <v>28</v>
      </c>
      <c r="J70" s="23"/>
      <c r="K70" s="23" t="s">
        <v>306</v>
      </c>
      <c r="L70" s="13"/>
      <c r="M70" s="13"/>
      <c r="N70" s="13" t="s">
        <v>1193</v>
      </c>
      <c r="O70" s="13"/>
    </row>
    <row r="71" spans="1:15" s="8" customFormat="1" ht="17.25" thickBot="1">
      <c r="A71" s="22">
        <v>72</v>
      </c>
      <c r="B71" s="22">
        <f t="shared" si="0"/>
        <v>57</v>
      </c>
      <c r="C71" s="23" t="s">
        <v>74</v>
      </c>
      <c r="D71" s="23"/>
      <c r="E71" s="23"/>
      <c r="F71" s="117"/>
      <c r="G71" s="131"/>
      <c r="H71" s="131"/>
      <c r="I71" s="23" t="s">
        <v>75</v>
      </c>
      <c r="J71" s="23" t="s">
        <v>76</v>
      </c>
      <c r="K71" s="23"/>
      <c r="L71" s="13"/>
      <c r="M71" s="16"/>
      <c r="N71" s="13"/>
      <c r="O71" s="13"/>
    </row>
    <row r="72" spans="1:15" ht="16.5">
      <c r="A72" s="22">
        <v>73</v>
      </c>
      <c r="B72" s="22">
        <f t="shared" si="0"/>
        <v>58</v>
      </c>
      <c r="C72" s="51" t="s">
        <v>79</v>
      </c>
      <c r="D72" s="51"/>
      <c r="E72" s="26"/>
      <c r="F72" s="26"/>
      <c r="G72" s="31"/>
      <c r="H72" s="13"/>
      <c r="I72" s="23"/>
      <c r="J72" s="23"/>
      <c r="K72" s="23"/>
      <c r="L72" s="22"/>
      <c r="M72" s="16"/>
      <c r="N72" s="26"/>
      <c r="O72" s="26"/>
    </row>
    <row r="73" spans="1:15" ht="33">
      <c r="A73" s="22">
        <v>76</v>
      </c>
      <c r="B73" s="22">
        <f t="shared" si="0"/>
        <v>59</v>
      </c>
      <c r="C73" s="23" t="s">
        <v>743</v>
      </c>
      <c r="D73" s="142"/>
      <c r="E73" s="26" t="s">
        <v>25</v>
      </c>
      <c r="F73" s="26" t="s">
        <v>744</v>
      </c>
      <c r="G73" s="13" t="s">
        <v>746</v>
      </c>
      <c r="H73" s="13"/>
      <c r="I73" s="23" t="s">
        <v>747</v>
      </c>
      <c r="J73" s="23" t="s">
        <v>52</v>
      </c>
      <c r="K73" s="23" t="s">
        <v>421</v>
      </c>
      <c r="L73" s="22" t="s">
        <v>745</v>
      </c>
      <c r="M73" s="16"/>
      <c r="N73" s="26">
        <v>1978</v>
      </c>
      <c r="O73" s="26"/>
    </row>
    <row r="74" spans="1:15" ht="49.5">
      <c r="A74" s="22">
        <v>78</v>
      </c>
      <c r="B74" s="22">
        <f t="shared" si="0"/>
        <v>60</v>
      </c>
      <c r="C74" s="23" t="s">
        <v>83</v>
      </c>
      <c r="D74" s="23"/>
      <c r="E74" s="23" t="s">
        <v>523</v>
      </c>
      <c r="F74" s="33" t="s">
        <v>710</v>
      </c>
      <c r="G74" s="13" t="s">
        <v>512</v>
      </c>
      <c r="H74" s="13" t="s">
        <v>511</v>
      </c>
      <c r="I74" s="23" t="s">
        <v>709</v>
      </c>
      <c r="J74" s="13" t="s">
        <v>711</v>
      </c>
      <c r="K74" s="13" t="s">
        <v>513</v>
      </c>
      <c r="L74" s="13">
        <v>845864080</v>
      </c>
      <c r="M74" s="27" t="s">
        <v>514</v>
      </c>
      <c r="N74" s="26">
        <v>2001</v>
      </c>
      <c r="O74" s="13"/>
    </row>
    <row r="75" spans="1:15" ht="68.25" customHeight="1">
      <c r="A75" s="22">
        <v>80</v>
      </c>
      <c r="B75" s="22" t="e">
        <f>+#REF!+1</f>
        <v>#REF!</v>
      </c>
      <c r="C75" s="23" t="s">
        <v>464</v>
      </c>
      <c r="D75" s="23"/>
      <c r="E75" s="23"/>
      <c r="F75" s="33" t="s">
        <v>272</v>
      </c>
      <c r="G75" s="13" t="s">
        <v>983</v>
      </c>
      <c r="H75" s="13"/>
      <c r="I75" s="23" t="s">
        <v>982</v>
      </c>
      <c r="J75" s="23" t="s">
        <v>78</v>
      </c>
      <c r="K75" s="23" t="s">
        <v>85</v>
      </c>
      <c r="L75" s="13" t="s">
        <v>308</v>
      </c>
      <c r="M75" s="13" t="s">
        <v>86</v>
      </c>
      <c r="N75" s="13"/>
      <c r="O75" s="13"/>
    </row>
    <row r="76" spans="1:15" ht="33">
      <c r="A76" s="22">
        <v>82</v>
      </c>
      <c r="B76" s="22" t="e">
        <f t="shared" si="0"/>
        <v>#REF!</v>
      </c>
      <c r="C76" s="23" t="s">
        <v>87</v>
      </c>
      <c r="D76" s="23"/>
      <c r="E76" s="23"/>
      <c r="F76" s="33" t="s">
        <v>88</v>
      </c>
      <c r="G76" s="13" t="s">
        <v>89</v>
      </c>
      <c r="H76" s="13"/>
      <c r="I76" s="23" t="s">
        <v>37</v>
      </c>
      <c r="J76" s="23" t="s">
        <v>25</v>
      </c>
      <c r="K76" s="23" t="s">
        <v>422</v>
      </c>
      <c r="L76" s="13" t="s">
        <v>423</v>
      </c>
      <c r="M76" s="13" t="s">
        <v>309</v>
      </c>
      <c r="N76" s="13">
        <v>2010</v>
      </c>
      <c r="O76" s="13"/>
    </row>
    <row r="77" spans="1:15" ht="33">
      <c r="A77" s="22">
        <v>84</v>
      </c>
      <c r="B77" s="22" t="e">
        <f t="shared" si="0"/>
        <v>#REF!</v>
      </c>
      <c r="C77" s="23" t="s">
        <v>310</v>
      </c>
      <c r="D77" s="23"/>
      <c r="E77" s="23"/>
      <c r="F77" s="33" t="s">
        <v>73</v>
      </c>
      <c r="G77" s="13" t="s">
        <v>311</v>
      </c>
      <c r="H77" s="13"/>
      <c r="I77" s="23" t="s">
        <v>28</v>
      </c>
      <c r="J77" s="23" t="s">
        <v>25</v>
      </c>
      <c r="K77" s="23"/>
      <c r="L77" s="13">
        <v>826091267</v>
      </c>
      <c r="M77" s="13"/>
      <c r="N77" s="13"/>
      <c r="O77" s="13"/>
    </row>
    <row r="78" spans="1:15" ht="82.5">
      <c r="A78" s="22">
        <v>85</v>
      </c>
      <c r="B78" s="22" t="e">
        <f t="shared" si="0"/>
        <v>#REF!</v>
      </c>
      <c r="C78" s="23" t="s">
        <v>312</v>
      </c>
      <c r="D78" s="23"/>
      <c r="E78" s="23"/>
      <c r="F78" s="33" t="s">
        <v>316</v>
      </c>
      <c r="G78" s="13" t="s">
        <v>318</v>
      </c>
      <c r="H78" s="13"/>
      <c r="I78" s="23" t="s">
        <v>317</v>
      </c>
      <c r="J78" s="23" t="s">
        <v>319</v>
      </c>
      <c r="K78" s="23" t="s">
        <v>313</v>
      </c>
      <c r="L78" s="13" t="s">
        <v>314</v>
      </c>
      <c r="M78" s="13" t="s">
        <v>315</v>
      </c>
      <c r="N78" s="13"/>
      <c r="O78" s="13"/>
    </row>
    <row r="79" spans="1:15" ht="16.5">
      <c r="A79" s="22">
        <v>86</v>
      </c>
      <c r="B79" s="22" t="e">
        <f t="shared" si="0"/>
        <v>#REF!</v>
      </c>
      <c r="C79" s="23" t="s">
        <v>90</v>
      </c>
      <c r="D79" s="23"/>
      <c r="E79" s="23"/>
      <c r="F79" s="33"/>
      <c r="G79" s="13"/>
      <c r="H79" s="13"/>
      <c r="I79" s="23" t="s">
        <v>37</v>
      </c>
      <c r="J79" s="23" t="s">
        <v>19</v>
      </c>
      <c r="K79" s="23"/>
      <c r="L79" s="13"/>
      <c r="M79" s="13"/>
      <c r="N79" s="13"/>
      <c r="O79" s="13"/>
    </row>
    <row r="80" spans="1:15" ht="49.5">
      <c r="A80" s="22">
        <v>87</v>
      </c>
      <c r="B80" s="22" t="e">
        <f t="shared" ref="B80:B109" si="1">+B79+1</f>
        <v>#REF!</v>
      </c>
      <c r="C80" s="23" t="s">
        <v>320</v>
      </c>
      <c r="D80" s="23"/>
      <c r="E80" s="23"/>
      <c r="F80" s="33"/>
      <c r="G80" s="13" t="s">
        <v>321</v>
      </c>
      <c r="H80" s="13"/>
      <c r="I80" s="23" t="s">
        <v>767</v>
      </c>
      <c r="J80" s="23" t="s">
        <v>763</v>
      </c>
      <c r="K80" s="23"/>
      <c r="L80" s="13" t="s">
        <v>91</v>
      </c>
      <c r="M80" s="13"/>
      <c r="N80" s="13"/>
      <c r="O80" s="13"/>
    </row>
    <row r="81" spans="1:15" ht="82.5">
      <c r="A81" s="22">
        <v>88</v>
      </c>
      <c r="B81" s="22" t="e">
        <f t="shared" si="1"/>
        <v>#REF!</v>
      </c>
      <c r="C81" s="23" t="s">
        <v>92</v>
      </c>
      <c r="D81" s="142"/>
      <c r="E81" s="23"/>
      <c r="F81" s="33" t="s">
        <v>93</v>
      </c>
      <c r="G81" s="13" t="s">
        <v>94</v>
      </c>
      <c r="H81" s="13"/>
      <c r="I81" s="23" t="s">
        <v>37</v>
      </c>
      <c r="J81" s="23" t="s">
        <v>25</v>
      </c>
      <c r="K81" s="23"/>
      <c r="L81" s="13"/>
      <c r="M81" s="13"/>
      <c r="N81" s="13"/>
      <c r="O81" s="13"/>
    </row>
    <row r="82" spans="1:15" ht="33">
      <c r="A82" s="22">
        <v>89</v>
      </c>
      <c r="B82" s="22" t="e">
        <f t="shared" si="1"/>
        <v>#REF!</v>
      </c>
      <c r="C82" s="23" t="s">
        <v>323</v>
      </c>
      <c r="D82" s="23"/>
      <c r="E82" s="23" t="s">
        <v>615</v>
      </c>
      <c r="F82" s="33" t="s">
        <v>272</v>
      </c>
      <c r="G82" s="13" t="s">
        <v>326</v>
      </c>
      <c r="H82" s="13"/>
      <c r="I82" s="23" t="s">
        <v>752</v>
      </c>
      <c r="J82" s="23" t="s">
        <v>25</v>
      </c>
      <c r="K82" s="23" t="s">
        <v>58</v>
      </c>
      <c r="L82" s="13" t="s">
        <v>324</v>
      </c>
      <c r="M82" s="13" t="s">
        <v>325</v>
      </c>
      <c r="N82" s="13"/>
      <c r="O82" s="13"/>
    </row>
    <row r="83" spans="1:15" ht="66">
      <c r="A83" s="22">
        <v>90</v>
      </c>
      <c r="B83" s="22" t="e">
        <f t="shared" si="1"/>
        <v>#REF!</v>
      </c>
      <c r="C83" s="23" t="s">
        <v>327</v>
      </c>
      <c r="D83" s="142"/>
      <c r="E83" s="23"/>
      <c r="F83" s="33" t="s">
        <v>73</v>
      </c>
      <c r="G83" s="13" t="s">
        <v>424</v>
      </c>
      <c r="H83" s="13"/>
      <c r="I83" s="23" t="s">
        <v>22</v>
      </c>
      <c r="J83" s="23" t="s">
        <v>322</v>
      </c>
      <c r="K83" s="23"/>
      <c r="L83" s="13" t="s">
        <v>980</v>
      </c>
      <c r="M83" s="13"/>
      <c r="N83" s="13"/>
      <c r="O83" s="13"/>
    </row>
    <row r="84" spans="1:15" ht="49.5">
      <c r="A84" s="22">
        <v>91</v>
      </c>
      <c r="B84" s="22" t="e">
        <f t="shared" si="1"/>
        <v>#REF!</v>
      </c>
      <c r="C84" s="23" t="s">
        <v>96</v>
      </c>
      <c r="D84" s="23"/>
      <c r="E84" s="23"/>
      <c r="F84" s="33" t="s">
        <v>97</v>
      </c>
      <c r="G84" s="13" t="s">
        <v>98</v>
      </c>
      <c r="H84" s="13"/>
      <c r="I84" s="23" t="s">
        <v>99</v>
      </c>
      <c r="J84" s="23"/>
      <c r="K84" s="23"/>
      <c r="L84" s="13"/>
      <c r="M84" s="13"/>
      <c r="N84" s="13"/>
      <c r="O84" s="13"/>
    </row>
    <row r="85" spans="1:15" ht="99">
      <c r="A85" s="22">
        <v>92</v>
      </c>
      <c r="B85" s="22" t="e">
        <f t="shared" si="1"/>
        <v>#REF!</v>
      </c>
      <c r="C85" s="23" t="s">
        <v>100</v>
      </c>
      <c r="D85" s="142"/>
      <c r="E85" s="23"/>
      <c r="F85" s="33" t="s">
        <v>73</v>
      </c>
      <c r="G85" s="13" t="s">
        <v>101</v>
      </c>
      <c r="H85" s="13"/>
      <c r="I85" s="23" t="s">
        <v>102</v>
      </c>
      <c r="J85" s="23"/>
      <c r="K85" s="23" t="s">
        <v>103</v>
      </c>
      <c r="L85" s="13">
        <v>842415990</v>
      </c>
      <c r="M85" s="13"/>
      <c r="N85" s="13"/>
      <c r="O85" s="13"/>
    </row>
    <row r="86" spans="1:15" ht="16.5">
      <c r="A86" s="22">
        <v>93</v>
      </c>
      <c r="B86" s="22" t="e">
        <f t="shared" si="1"/>
        <v>#REF!</v>
      </c>
      <c r="C86" s="23" t="s">
        <v>106</v>
      </c>
      <c r="D86" s="23"/>
      <c r="E86" s="23"/>
      <c r="F86" s="33"/>
      <c r="G86" s="13"/>
      <c r="H86" s="13"/>
      <c r="I86" s="23" t="s">
        <v>37</v>
      </c>
      <c r="J86" s="23" t="s">
        <v>32</v>
      </c>
      <c r="K86" s="23"/>
      <c r="L86" s="13"/>
      <c r="M86" s="13"/>
      <c r="N86" s="13"/>
      <c r="O86" s="13"/>
    </row>
    <row r="87" spans="1:15" ht="49.5">
      <c r="A87" s="22">
        <v>94</v>
      </c>
      <c r="B87" s="22" t="e">
        <f t="shared" si="1"/>
        <v>#REF!</v>
      </c>
      <c r="C87" s="23" t="s">
        <v>704</v>
      </c>
      <c r="D87" s="142"/>
      <c r="E87" s="23"/>
      <c r="F87" s="33" t="s">
        <v>63</v>
      </c>
      <c r="G87" s="13" t="s">
        <v>708</v>
      </c>
      <c r="H87" s="13" t="s">
        <v>706</v>
      </c>
      <c r="I87" s="23" t="s">
        <v>707</v>
      </c>
      <c r="J87" s="23" t="s">
        <v>705</v>
      </c>
      <c r="K87" s="23"/>
      <c r="L87" s="13"/>
      <c r="M87" s="13"/>
      <c r="N87" s="13">
        <v>2023</v>
      </c>
      <c r="O87" s="13"/>
    </row>
    <row r="88" spans="1:15" ht="33">
      <c r="A88" s="22">
        <v>95</v>
      </c>
      <c r="B88" s="22" t="e">
        <f t="shared" si="1"/>
        <v>#REF!</v>
      </c>
      <c r="C88" s="23" t="s">
        <v>109</v>
      </c>
      <c r="D88" s="23"/>
      <c r="E88" s="23" t="s">
        <v>663</v>
      </c>
      <c r="F88" s="33" t="s">
        <v>110</v>
      </c>
      <c r="G88" s="13" t="s">
        <v>111</v>
      </c>
      <c r="H88" s="13"/>
      <c r="I88" s="23" t="s">
        <v>594</v>
      </c>
      <c r="J88" s="23" t="s">
        <v>25</v>
      </c>
      <c r="K88" s="23" t="s">
        <v>112</v>
      </c>
      <c r="L88" s="13" t="s">
        <v>333</v>
      </c>
      <c r="M88" s="13" t="s">
        <v>334</v>
      </c>
      <c r="N88" s="13"/>
      <c r="O88" s="13"/>
    </row>
    <row r="89" spans="1:15" ht="16.5">
      <c r="A89" s="22">
        <v>96</v>
      </c>
      <c r="B89" s="22" t="e">
        <f t="shared" si="1"/>
        <v>#REF!</v>
      </c>
      <c r="C89" s="23" t="s">
        <v>335</v>
      </c>
      <c r="D89" s="23"/>
      <c r="E89" s="23"/>
      <c r="F89" s="33"/>
      <c r="G89" s="13" t="s">
        <v>337</v>
      </c>
      <c r="H89" s="13"/>
      <c r="I89" s="23" t="s">
        <v>268</v>
      </c>
      <c r="J89" s="23" t="s">
        <v>284</v>
      </c>
      <c r="K89" s="23" t="s">
        <v>336</v>
      </c>
      <c r="L89" s="13">
        <v>823262700</v>
      </c>
      <c r="M89" s="13"/>
      <c r="N89" s="13"/>
      <c r="O89" s="13"/>
    </row>
    <row r="90" spans="1:15" ht="51">
      <c r="A90" s="22">
        <v>97</v>
      </c>
      <c r="B90" s="22" t="e">
        <f t="shared" si="1"/>
        <v>#REF!</v>
      </c>
      <c r="C90" s="36" t="s">
        <v>515</v>
      </c>
      <c r="D90" s="36"/>
      <c r="E90" s="37"/>
      <c r="F90" s="30" t="s">
        <v>63</v>
      </c>
      <c r="G90" s="130" t="s">
        <v>516</v>
      </c>
      <c r="H90" s="133" t="s">
        <v>517</v>
      </c>
      <c r="I90" s="35" t="s">
        <v>259</v>
      </c>
      <c r="J90" s="23" t="s">
        <v>76</v>
      </c>
      <c r="K90" s="23"/>
      <c r="L90" s="13"/>
      <c r="M90" s="17"/>
      <c r="N90" s="38"/>
      <c r="O90" s="38"/>
    </row>
    <row r="91" spans="1:15" ht="66">
      <c r="A91" s="22">
        <v>98</v>
      </c>
      <c r="B91" s="22" t="e">
        <f t="shared" si="1"/>
        <v>#REF!</v>
      </c>
      <c r="C91" s="23" t="s">
        <v>341</v>
      </c>
      <c r="D91" s="142"/>
      <c r="E91" s="23" t="s">
        <v>644</v>
      </c>
      <c r="F91" s="33" t="s">
        <v>35</v>
      </c>
      <c r="G91" s="13" t="s">
        <v>443</v>
      </c>
      <c r="H91" s="13" t="s">
        <v>243</v>
      </c>
      <c r="I91" s="23" t="s">
        <v>645</v>
      </c>
      <c r="J91" s="23" t="s">
        <v>18</v>
      </c>
      <c r="K91" s="23" t="s">
        <v>646</v>
      </c>
      <c r="L91" s="13">
        <v>876570434</v>
      </c>
      <c r="M91" s="13"/>
      <c r="N91" s="13"/>
      <c r="O91" s="13"/>
    </row>
    <row r="92" spans="1:15" ht="66">
      <c r="A92" s="22">
        <v>99</v>
      </c>
      <c r="B92" s="22" t="e">
        <f t="shared" si="1"/>
        <v>#REF!</v>
      </c>
      <c r="C92" s="23" t="s">
        <v>115</v>
      </c>
      <c r="D92" s="23"/>
      <c r="E92" s="23"/>
      <c r="F92" s="33" t="s">
        <v>116</v>
      </c>
      <c r="G92" s="13" t="s">
        <v>117</v>
      </c>
      <c r="H92" s="13"/>
      <c r="I92" s="23" t="s">
        <v>118</v>
      </c>
      <c r="J92" s="23" t="s">
        <v>295</v>
      </c>
      <c r="K92" s="23" t="s">
        <v>331</v>
      </c>
      <c r="L92" s="13"/>
      <c r="M92" s="13" t="s">
        <v>332</v>
      </c>
      <c r="N92" s="13"/>
      <c r="O92" s="13"/>
    </row>
    <row r="93" spans="1:15" ht="99">
      <c r="A93" s="22">
        <v>101</v>
      </c>
      <c r="B93" s="22" t="e">
        <f t="shared" si="1"/>
        <v>#REF!</v>
      </c>
      <c r="C93" s="23" t="s">
        <v>342</v>
      </c>
      <c r="D93" s="23"/>
      <c r="E93" s="23"/>
      <c r="F93" s="33" t="s">
        <v>178</v>
      </c>
      <c r="G93" s="13" t="s">
        <v>344</v>
      </c>
      <c r="H93" s="13"/>
      <c r="I93" s="23" t="s">
        <v>343</v>
      </c>
      <c r="J93" s="23" t="s">
        <v>289</v>
      </c>
      <c r="K93" s="23"/>
      <c r="L93" s="13"/>
      <c r="M93" s="13"/>
      <c r="N93" s="13"/>
      <c r="O93" s="13"/>
    </row>
    <row r="94" spans="1:15" ht="49.5">
      <c r="A94" s="22">
        <v>102</v>
      </c>
      <c r="B94" s="22" t="e">
        <f t="shared" si="1"/>
        <v>#REF!</v>
      </c>
      <c r="C94" s="23" t="s">
        <v>788</v>
      </c>
      <c r="D94" s="23"/>
      <c r="E94" s="23"/>
      <c r="F94" s="33" t="s">
        <v>122</v>
      </c>
      <c r="G94" s="13" t="s">
        <v>123</v>
      </c>
      <c r="H94" s="13"/>
      <c r="I94" s="23" t="s">
        <v>124</v>
      </c>
      <c r="J94" s="23"/>
      <c r="K94" s="23"/>
      <c r="L94" s="13"/>
      <c r="M94" s="13"/>
      <c r="N94" s="13"/>
      <c r="O94" s="13"/>
    </row>
    <row r="95" spans="1:15" ht="16.5">
      <c r="A95" s="22">
        <v>104</v>
      </c>
      <c r="B95" s="22" t="e">
        <f t="shared" si="1"/>
        <v>#REF!</v>
      </c>
      <c r="C95" s="23" t="s">
        <v>126</v>
      </c>
      <c r="D95" s="23"/>
      <c r="E95" s="23"/>
      <c r="F95" s="33"/>
      <c r="G95" s="13"/>
      <c r="H95" s="13"/>
      <c r="I95" s="23"/>
      <c r="J95" s="23" t="s">
        <v>25</v>
      </c>
      <c r="K95" s="23"/>
      <c r="L95" s="13"/>
      <c r="M95" s="13"/>
      <c r="N95" s="13"/>
      <c r="O95" s="13"/>
    </row>
    <row r="96" spans="1:15" ht="66">
      <c r="A96" s="22">
        <v>106</v>
      </c>
      <c r="B96" s="22" t="e">
        <f t="shared" si="1"/>
        <v>#REF!</v>
      </c>
      <c r="C96" s="23" t="s">
        <v>441</v>
      </c>
      <c r="D96" s="23"/>
      <c r="E96" s="23"/>
      <c r="F96" s="33" t="s">
        <v>155</v>
      </c>
      <c r="G96" s="13" t="s">
        <v>353</v>
      </c>
      <c r="H96" s="13"/>
      <c r="I96" s="23" t="s">
        <v>352</v>
      </c>
      <c r="J96" s="23" t="s">
        <v>354</v>
      </c>
      <c r="K96" s="23" t="s">
        <v>350</v>
      </c>
      <c r="L96" s="13">
        <v>845229025</v>
      </c>
      <c r="M96" s="13" t="s">
        <v>351</v>
      </c>
      <c r="N96" s="13"/>
      <c r="O96" s="13"/>
    </row>
    <row r="97" spans="1:15" ht="33">
      <c r="A97" s="22">
        <v>107</v>
      </c>
      <c r="B97" s="22" t="e">
        <f t="shared" si="1"/>
        <v>#REF!</v>
      </c>
      <c r="C97" s="23" t="s">
        <v>430</v>
      </c>
      <c r="D97" s="23"/>
      <c r="E97" s="23"/>
      <c r="F97" s="33"/>
      <c r="G97" s="13" t="s">
        <v>349</v>
      </c>
      <c r="H97" s="13"/>
      <c r="I97" s="23" t="s">
        <v>348</v>
      </c>
      <c r="J97" s="23" t="s">
        <v>25</v>
      </c>
      <c r="K97" s="23"/>
      <c r="L97" s="13" t="s">
        <v>346</v>
      </c>
      <c r="M97" s="13" t="s">
        <v>347</v>
      </c>
      <c r="N97" s="13"/>
      <c r="O97" s="13"/>
    </row>
    <row r="98" spans="1:15" ht="16.5">
      <c r="A98" s="22">
        <v>108</v>
      </c>
      <c r="B98" s="22" t="e">
        <f t="shared" si="1"/>
        <v>#REF!</v>
      </c>
      <c r="C98" s="23" t="s">
        <v>129</v>
      </c>
      <c r="D98" s="23"/>
      <c r="E98" s="23"/>
      <c r="F98" s="33"/>
      <c r="G98" s="13"/>
      <c r="H98" s="13"/>
      <c r="I98" s="23"/>
      <c r="J98" s="23" t="s">
        <v>130</v>
      </c>
      <c r="K98" s="23"/>
      <c r="L98" s="13"/>
      <c r="M98" s="13"/>
      <c r="N98" s="13"/>
      <c r="O98" s="13"/>
    </row>
    <row r="99" spans="1:15" ht="33">
      <c r="A99" s="22">
        <v>109</v>
      </c>
      <c r="B99" s="22" t="e">
        <f t="shared" si="1"/>
        <v>#REF!</v>
      </c>
      <c r="C99" s="23" t="s">
        <v>131</v>
      </c>
      <c r="D99" s="23"/>
      <c r="E99" s="23"/>
      <c r="F99" s="33"/>
      <c r="G99" s="13" t="s">
        <v>138</v>
      </c>
      <c r="H99" s="13"/>
      <c r="I99" s="23" t="s">
        <v>132</v>
      </c>
      <c r="J99" s="23" t="s">
        <v>32</v>
      </c>
      <c r="K99" s="23"/>
      <c r="L99" s="13"/>
      <c r="M99" s="13"/>
      <c r="N99" s="13"/>
      <c r="O99" s="13"/>
    </row>
    <row r="100" spans="1:15" ht="33">
      <c r="A100" s="22">
        <v>111</v>
      </c>
      <c r="B100" s="22" t="e">
        <f t="shared" si="1"/>
        <v>#REF!</v>
      </c>
      <c r="C100" s="23" t="s">
        <v>133</v>
      </c>
      <c r="D100" s="142"/>
      <c r="E100" s="23"/>
      <c r="F100" s="33" t="s">
        <v>134</v>
      </c>
      <c r="G100" s="13" t="s">
        <v>135</v>
      </c>
      <c r="H100" s="13"/>
      <c r="I100" s="23" t="s">
        <v>647</v>
      </c>
      <c r="J100" s="23" t="s">
        <v>620</v>
      </c>
      <c r="K100" s="23"/>
      <c r="L100" s="13"/>
      <c r="M100" s="13"/>
      <c r="N100" s="13">
        <v>2022</v>
      </c>
      <c r="O100" s="13"/>
    </row>
    <row r="101" spans="1:15" ht="66">
      <c r="A101" s="22">
        <v>112</v>
      </c>
      <c r="B101" s="22" t="e">
        <f t="shared" si="1"/>
        <v>#REF!</v>
      </c>
      <c r="C101" s="23" t="s">
        <v>357</v>
      </c>
      <c r="D101" s="142"/>
      <c r="E101" s="23" t="s">
        <v>770</v>
      </c>
      <c r="F101" s="33" t="s">
        <v>63</v>
      </c>
      <c r="G101" s="13" t="s">
        <v>456</v>
      </c>
      <c r="H101" s="13"/>
      <c r="I101" s="23" t="s">
        <v>457</v>
      </c>
      <c r="J101" s="23" t="s">
        <v>358</v>
      </c>
      <c r="K101" s="23"/>
      <c r="L101" s="13"/>
      <c r="M101" s="13"/>
      <c r="N101" s="13"/>
      <c r="O101" s="13"/>
    </row>
    <row r="102" spans="1:15" ht="16.5">
      <c r="A102" s="22">
        <v>113</v>
      </c>
      <c r="B102" s="22" t="e">
        <f t="shared" si="1"/>
        <v>#REF!</v>
      </c>
      <c r="C102" s="23" t="s">
        <v>136</v>
      </c>
      <c r="D102" s="23"/>
      <c r="E102" s="23"/>
      <c r="F102" s="33" t="s">
        <v>73</v>
      </c>
      <c r="G102" s="13" t="s">
        <v>584</v>
      </c>
      <c r="H102" s="13"/>
      <c r="I102" s="33" t="s">
        <v>585</v>
      </c>
      <c r="J102" s="23" t="s">
        <v>21</v>
      </c>
      <c r="K102" s="23" t="s">
        <v>586</v>
      </c>
      <c r="L102" s="13"/>
      <c r="M102" s="13"/>
      <c r="N102" s="13"/>
      <c r="O102" s="13"/>
    </row>
    <row r="103" spans="1:15" ht="33">
      <c r="A103" s="22">
        <v>115</v>
      </c>
      <c r="B103" s="22" t="e">
        <f>+#REF!+1</f>
        <v>#REF!</v>
      </c>
      <c r="C103" s="23" t="s">
        <v>142</v>
      </c>
      <c r="D103" s="23"/>
      <c r="E103" s="23"/>
      <c r="F103" s="33" t="s">
        <v>93</v>
      </c>
      <c r="G103" s="13" t="s">
        <v>143</v>
      </c>
      <c r="H103" s="13"/>
      <c r="I103" s="23" t="s">
        <v>132</v>
      </c>
      <c r="J103" s="23" t="s">
        <v>428</v>
      </c>
      <c r="K103" s="23" t="s">
        <v>144</v>
      </c>
      <c r="L103" s="13">
        <v>822750095</v>
      </c>
      <c r="M103" s="13" t="s">
        <v>360</v>
      </c>
      <c r="N103" s="13">
        <v>1986</v>
      </c>
      <c r="O103" s="13"/>
    </row>
    <row r="104" spans="1:15" ht="49.5">
      <c r="A104" s="22">
        <v>116</v>
      </c>
      <c r="B104" s="22" t="e">
        <f t="shared" si="1"/>
        <v>#REF!</v>
      </c>
      <c r="C104" s="23" t="s">
        <v>137</v>
      </c>
      <c r="D104" s="23"/>
      <c r="E104" s="23"/>
      <c r="F104" s="33" t="s">
        <v>63</v>
      </c>
      <c r="G104" s="13" t="s">
        <v>138</v>
      </c>
      <c r="H104" s="13"/>
      <c r="I104" s="23" t="s">
        <v>37</v>
      </c>
      <c r="J104" s="23" t="s">
        <v>139</v>
      </c>
      <c r="K104" s="23" t="s">
        <v>140</v>
      </c>
      <c r="L104" s="13" t="s">
        <v>141</v>
      </c>
      <c r="M104" s="13" t="s">
        <v>359</v>
      </c>
      <c r="N104" s="13"/>
      <c r="O104" s="13"/>
    </row>
    <row r="105" spans="1:15" ht="16.5">
      <c r="A105" s="22">
        <v>117</v>
      </c>
      <c r="B105" s="22" t="e">
        <f t="shared" si="1"/>
        <v>#REF!</v>
      </c>
      <c r="C105" s="23" t="s">
        <v>361</v>
      </c>
      <c r="D105" s="23"/>
      <c r="E105" s="23"/>
      <c r="F105" s="33"/>
      <c r="G105" s="13"/>
      <c r="H105" s="13"/>
      <c r="I105" s="23" t="s">
        <v>37</v>
      </c>
      <c r="J105" s="23"/>
      <c r="K105" s="23" t="s">
        <v>362</v>
      </c>
      <c r="L105" s="13" t="s">
        <v>363</v>
      </c>
      <c r="M105" s="13"/>
      <c r="N105" s="13"/>
      <c r="O105" s="13"/>
    </row>
    <row r="106" spans="1:15" ht="33">
      <c r="A106" s="22">
        <v>118</v>
      </c>
      <c r="B106" s="22" t="e">
        <f t="shared" si="1"/>
        <v>#REF!</v>
      </c>
      <c r="C106" s="23" t="s">
        <v>145</v>
      </c>
      <c r="D106" s="23"/>
      <c r="E106" s="23"/>
      <c r="F106" s="33" t="s">
        <v>146</v>
      </c>
      <c r="G106" s="13" t="s">
        <v>147</v>
      </c>
      <c r="H106" s="13"/>
      <c r="I106" s="23" t="s">
        <v>132</v>
      </c>
      <c r="J106" s="23" t="s">
        <v>21</v>
      </c>
      <c r="K106" s="23"/>
      <c r="L106" s="13"/>
      <c r="M106" s="13"/>
      <c r="N106" s="13"/>
      <c r="O106" s="13"/>
    </row>
    <row r="107" spans="1:15" ht="66">
      <c r="A107" s="22">
        <v>119</v>
      </c>
      <c r="B107" s="22" t="e">
        <f t="shared" si="1"/>
        <v>#REF!</v>
      </c>
      <c r="C107" s="23" t="s">
        <v>466</v>
      </c>
      <c r="D107" s="142"/>
      <c r="E107" s="23" t="s">
        <v>25</v>
      </c>
      <c r="F107" s="33" t="s">
        <v>35</v>
      </c>
      <c r="G107" s="13" t="s">
        <v>148</v>
      </c>
      <c r="H107" s="13" t="s">
        <v>667</v>
      </c>
      <c r="I107" s="23" t="s">
        <v>668</v>
      </c>
      <c r="J107" s="23" t="s">
        <v>475</v>
      </c>
      <c r="K107" s="23" t="s">
        <v>477</v>
      </c>
      <c r="L107" s="13">
        <v>866778000</v>
      </c>
      <c r="M107" s="13" t="s">
        <v>476</v>
      </c>
      <c r="N107" s="13">
        <v>20121</v>
      </c>
      <c r="O107" s="13"/>
    </row>
    <row r="108" spans="1:15" ht="66">
      <c r="A108" s="22">
        <v>120</v>
      </c>
      <c r="B108" s="22" t="e">
        <f t="shared" si="1"/>
        <v>#REF!</v>
      </c>
      <c r="C108" s="23" t="s">
        <v>364</v>
      </c>
      <c r="D108" s="142"/>
      <c r="E108" s="23"/>
      <c r="F108" s="33" t="s">
        <v>150</v>
      </c>
      <c r="G108" s="13" t="s">
        <v>369</v>
      </c>
      <c r="H108" s="13"/>
      <c r="I108" s="23" t="s">
        <v>368</v>
      </c>
      <c r="J108" s="23" t="s">
        <v>370</v>
      </c>
      <c r="K108" s="23" t="s">
        <v>365</v>
      </c>
      <c r="L108" s="13" t="s">
        <v>366</v>
      </c>
      <c r="M108" s="13" t="s">
        <v>367</v>
      </c>
      <c r="N108" s="13"/>
      <c r="O108" s="13"/>
    </row>
    <row r="109" spans="1:15" ht="66">
      <c r="A109" s="22">
        <v>121</v>
      </c>
      <c r="B109" s="22" t="e">
        <f t="shared" si="1"/>
        <v>#REF!</v>
      </c>
      <c r="C109" s="23" t="s">
        <v>149</v>
      </c>
      <c r="D109" s="142"/>
      <c r="E109" s="23" t="s">
        <v>615</v>
      </c>
      <c r="F109" s="33" t="s">
        <v>150</v>
      </c>
      <c r="G109" s="13" t="s">
        <v>449</v>
      </c>
      <c r="H109" s="13" t="s">
        <v>757</v>
      </c>
      <c r="I109" s="23" t="s">
        <v>450</v>
      </c>
      <c r="J109" s="23" t="s">
        <v>616</v>
      </c>
      <c r="K109" s="23" t="s">
        <v>432</v>
      </c>
      <c r="L109" s="13" t="s">
        <v>431</v>
      </c>
      <c r="M109" s="13" t="s">
        <v>617</v>
      </c>
      <c r="N109" s="13">
        <v>1999</v>
      </c>
      <c r="O109" s="13"/>
    </row>
    <row r="110" spans="1:15" ht="16.5">
      <c r="A110" s="22">
        <v>122</v>
      </c>
      <c r="C110" s="49" t="s">
        <v>153</v>
      </c>
      <c r="D110" s="49"/>
      <c r="E110" s="49"/>
      <c r="F110" s="118" t="s">
        <v>724</v>
      </c>
      <c r="G110" s="20" t="s">
        <v>726</v>
      </c>
      <c r="H110" s="20"/>
      <c r="I110" s="49" t="s">
        <v>28</v>
      </c>
      <c r="J110" s="49" t="s">
        <v>154</v>
      </c>
      <c r="K110" s="49" t="s">
        <v>725</v>
      </c>
      <c r="L110" s="20">
        <v>855203344</v>
      </c>
      <c r="M110" s="20"/>
      <c r="N110" s="20"/>
      <c r="O110" s="20"/>
    </row>
    <row r="111" spans="1:15" ht="37.5" customHeight="1">
      <c r="A111" s="22">
        <v>123</v>
      </c>
      <c r="B111" s="22">
        <f>+Nacionais!C54+1</f>
        <v>42</v>
      </c>
      <c r="C111" s="23" t="s">
        <v>372</v>
      </c>
      <c r="D111" s="23"/>
      <c r="E111" s="23"/>
      <c r="F111" s="33" t="s">
        <v>316</v>
      </c>
      <c r="G111" s="13" t="s">
        <v>375</v>
      </c>
      <c r="H111" s="13"/>
      <c r="I111" s="23" t="s">
        <v>596</v>
      </c>
      <c r="J111" s="23" t="s">
        <v>32</v>
      </c>
      <c r="K111" s="23" t="s">
        <v>373</v>
      </c>
      <c r="L111" s="13">
        <v>869049250</v>
      </c>
      <c r="M111" s="14" t="s">
        <v>374</v>
      </c>
      <c r="N111" s="13"/>
      <c r="O111" s="13"/>
    </row>
    <row r="112" spans="1:15" ht="48.75" customHeight="1">
      <c r="A112" s="22">
        <v>124</v>
      </c>
      <c r="B112" s="22">
        <f t="shared" ref="B112:B160" si="2">+B111+1</f>
        <v>43</v>
      </c>
      <c r="C112" s="23" t="s">
        <v>789</v>
      </c>
      <c r="D112" s="23"/>
      <c r="E112" s="23"/>
      <c r="F112" s="33" t="s">
        <v>155</v>
      </c>
      <c r="G112" s="13" t="s">
        <v>156</v>
      </c>
      <c r="H112" s="13"/>
      <c r="I112" s="23" t="s">
        <v>132</v>
      </c>
      <c r="J112" s="23"/>
      <c r="K112" s="23"/>
      <c r="L112" s="13"/>
      <c r="M112" s="13"/>
      <c r="N112" s="13"/>
      <c r="O112" s="13"/>
    </row>
    <row r="113" spans="1:15" ht="49.5">
      <c r="A113" s="22">
        <v>126</v>
      </c>
      <c r="B113" s="22">
        <f t="shared" si="2"/>
        <v>44</v>
      </c>
      <c r="C113" s="23" t="s">
        <v>157</v>
      </c>
      <c r="D113" s="23"/>
      <c r="E113" s="23" t="s">
        <v>25</v>
      </c>
      <c r="F113" s="33" t="s">
        <v>797</v>
      </c>
      <c r="G113" s="13" t="s">
        <v>798</v>
      </c>
      <c r="H113" s="13"/>
      <c r="I113" s="23" t="s">
        <v>598</v>
      </c>
      <c r="J113" s="23" t="s">
        <v>158</v>
      </c>
      <c r="K113" s="23"/>
      <c r="L113" s="13" t="s">
        <v>979</v>
      </c>
      <c r="M113" s="13"/>
      <c r="N113" s="13"/>
      <c r="O113" s="13"/>
    </row>
    <row r="114" spans="1:15" ht="70.5" customHeight="1">
      <c r="A114" s="22">
        <v>127</v>
      </c>
      <c r="B114" s="22">
        <f t="shared" si="2"/>
        <v>45</v>
      </c>
      <c r="C114" s="23" t="s">
        <v>163</v>
      </c>
      <c r="D114" s="23"/>
      <c r="E114" s="23"/>
      <c r="F114" s="33"/>
      <c r="G114" s="13"/>
      <c r="H114" s="13"/>
      <c r="I114" s="23" t="s">
        <v>22</v>
      </c>
      <c r="J114" s="23" t="s">
        <v>25</v>
      </c>
      <c r="K114" s="23"/>
      <c r="L114" s="13"/>
      <c r="M114" s="13"/>
      <c r="N114" s="13"/>
      <c r="O114" s="13"/>
    </row>
    <row r="115" spans="1:15" ht="16.5">
      <c r="A115" s="22">
        <v>128</v>
      </c>
      <c r="B115" s="22">
        <f t="shared" si="2"/>
        <v>46</v>
      </c>
      <c r="C115" s="23" t="s">
        <v>164</v>
      </c>
      <c r="D115" s="23"/>
      <c r="E115" s="23"/>
      <c r="F115" s="33"/>
      <c r="G115" s="13"/>
      <c r="H115" s="13"/>
      <c r="I115" s="23"/>
      <c r="J115" s="23" t="s">
        <v>25</v>
      </c>
      <c r="K115" s="23"/>
      <c r="L115" s="13"/>
      <c r="M115" s="13"/>
      <c r="N115" s="13"/>
      <c r="O115" s="13"/>
    </row>
    <row r="116" spans="1:15" ht="16.5">
      <c r="A116" s="22">
        <v>129</v>
      </c>
      <c r="B116" s="22">
        <f t="shared" si="2"/>
        <v>47</v>
      </c>
      <c r="C116" s="23" t="s">
        <v>165</v>
      </c>
      <c r="D116" s="23"/>
      <c r="E116" s="23" t="s">
        <v>25</v>
      </c>
      <c r="F116" s="33"/>
      <c r="G116" s="13"/>
      <c r="H116" s="13"/>
      <c r="I116" s="23"/>
      <c r="J116" s="23" t="s">
        <v>78</v>
      </c>
      <c r="K116" s="23"/>
      <c r="L116" s="13"/>
      <c r="M116" s="13"/>
      <c r="N116" s="13"/>
      <c r="O116" s="13"/>
    </row>
    <row r="117" spans="1:15" ht="49.5">
      <c r="A117" s="22">
        <v>130</v>
      </c>
      <c r="B117" s="22">
        <f t="shared" si="2"/>
        <v>48</v>
      </c>
      <c r="C117" s="23" t="s">
        <v>166</v>
      </c>
      <c r="D117" s="23"/>
      <c r="E117" s="23"/>
      <c r="F117" s="33" t="s">
        <v>73</v>
      </c>
      <c r="G117" s="13" t="s">
        <v>167</v>
      </c>
      <c r="H117" s="20"/>
      <c r="I117" s="23" t="s">
        <v>168</v>
      </c>
      <c r="J117" s="23"/>
      <c r="K117" s="23"/>
      <c r="L117" s="13"/>
      <c r="M117" s="13"/>
      <c r="N117" s="13"/>
      <c r="O117" s="13"/>
    </row>
    <row r="118" spans="1:15" ht="33">
      <c r="A118" s="22">
        <v>131</v>
      </c>
      <c r="B118" s="22">
        <f t="shared" si="2"/>
        <v>49</v>
      </c>
      <c r="C118" s="23" t="s">
        <v>378</v>
      </c>
      <c r="D118" s="23"/>
      <c r="E118" s="23"/>
      <c r="F118" s="33" t="s">
        <v>63</v>
      </c>
      <c r="G118" s="13" t="s">
        <v>382</v>
      </c>
      <c r="H118" s="13"/>
      <c r="I118" s="23" t="s">
        <v>348</v>
      </c>
      <c r="J118" s="23"/>
      <c r="K118" s="23" t="s">
        <v>379</v>
      </c>
      <c r="L118" s="13" t="s">
        <v>380</v>
      </c>
      <c r="M118" s="13" t="s">
        <v>381</v>
      </c>
      <c r="N118" s="13"/>
      <c r="O118" s="13"/>
    </row>
    <row r="119" spans="1:15" ht="44.25" customHeight="1">
      <c r="A119" s="22">
        <v>132</v>
      </c>
      <c r="B119" s="22">
        <f t="shared" si="2"/>
        <v>50</v>
      </c>
      <c r="C119" s="34" t="s">
        <v>771</v>
      </c>
      <c r="D119" s="34"/>
      <c r="E119" s="34" t="s">
        <v>576</v>
      </c>
      <c r="F119" s="43" t="s">
        <v>63</v>
      </c>
      <c r="G119" s="19" t="s">
        <v>169</v>
      </c>
      <c r="H119" s="135" t="s">
        <v>774</v>
      </c>
      <c r="I119" s="43" t="s">
        <v>37</v>
      </c>
      <c r="J119" s="34" t="s">
        <v>775</v>
      </c>
      <c r="K119" s="34" t="s">
        <v>772</v>
      </c>
      <c r="L119" s="44" t="s">
        <v>773</v>
      </c>
      <c r="M119" s="13"/>
      <c r="N119" s="13">
        <v>1987</v>
      </c>
      <c r="O119" s="13"/>
    </row>
    <row r="120" spans="1:15" ht="39.75" customHeight="1">
      <c r="A120" s="22">
        <v>133</v>
      </c>
      <c r="B120" s="22">
        <f t="shared" si="2"/>
        <v>51</v>
      </c>
      <c r="C120" s="23" t="s">
        <v>170</v>
      </c>
      <c r="D120" s="23"/>
      <c r="E120" s="23"/>
      <c r="F120" s="33"/>
      <c r="G120" s="13"/>
      <c r="H120" s="13"/>
      <c r="I120" s="23" t="s">
        <v>22</v>
      </c>
      <c r="J120" s="23" t="s">
        <v>25</v>
      </c>
      <c r="K120" s="23"/>
      <c r="L120" s="13"/>
      <c r="M120" s="13"/>
      <c r="N120" s="13"/>
      <c r="O120" s="13"/>
    </row>
    <row r="121" spans="1:15" ht="54" customHeight="1">
      <c r="A121" s="22">
        <v>134</v>
      </c>
      <c r="B121" s="22">
        <f t="shared" si="2"/>
        <v>52</v>
      </c>
      <c r="C121" s="122"/>
      <c r="D121" s="122"/>
      <c r="E121" s="122"/>
      <c r="F121" s="125"/>
      <c r="G121" s="129"/>
      <c r="H121" s="129"/>
      <c r="I121" s="136"/>
      <c r="J121" s="122"/>
      <c r="K121" s="122"/>
      <c r="L121" s="129"/>
      <c r="M121" s="129"/>
      <c r="N121" s="129"/>
      <c r="O121" s="129"/>
    </row>
    <row r="122" spans="1:15" ht="49.5">
      <c r="A122" s="22">
        <v>136</v>
      </c>
      <c r="B122" s="22">
        <f t="shared" si="2"/>
        <v>53</v>
      </c>
      <c r="C122" s="23" t="s">
        <v>176</v>
      </c>
      <c r="D122" s="23"/>
      <c r="E122" s="23"/>
      <c r="F122" s="33" t="s">
        <v>384</v>
      </c>
      <c r="G122" s="13" t="s">
        <v>385</v>
      </c>
      <c r="H122" s="13"/>
      <c r="I122" s="23" t="s">
        <v>597</v>
      </c>
      <c r="J122" s="23" t="s">
        <v>32</v>
      </c>
      <c r="K122" s="23"/>
      <c r="L122" s="13" t="s">
        <v>383</v>
      </c>
      <c r="M122" s="13"/>
      <c r="N122" s="13"/>
      <c r="O122" s="13"/>
    </row>
    <row r="123" spans="1:15" ht="16.5">
      <c r="A123" s="22">
        <v>137</v>
      </c>
      <c r="B123" s="22">
        <f t="shared" si="2"/>
        <v>54</v>
      </c>
      <c r="C123" s="23" t="s">
        <v>181</v>
      </c>
      <c r="D123" s="23"/>
      <c r="E123" s="23"/>
      <c r="F123" s="33"/>
      <c r="G123" s="13"/>
      <c r="H123" s="13"/>
      <c r="I123" s="23"/>
      <c r="J123" s="23" t="s">
        <v>21</v>
      </c>
      <c r="K123" s="23"/>
      <c r="L123" s="13"/>
      <c r="M123" s="13"/>
      <c r="N123" s="13"/>
      <c r="O123" s="13"/>
    </row>
    <row r="124" spans="1:15" ht="82.5">
      <c r="A124" s="22">
        <v>138</v>
      </c>
      <c r="B124" s="22">
        <f t="shared" si="2"/>
        <v>55</v>
      </c>
      <c r="C124" s="23" t="s">
        <v>446</v>
      </c>
      <c r="D124" s="23"/>
      <c r="E124" s="23"/>
      <c r="F124" s="33" t="s">
        <v>35</v>
      </c>
      <c r="G124" s="13" t="s">
        <v>448</v>
      </c>
      <c r="H124" s="13"/>
      <c r="I124" s="23" t="s">
        <v>37</v>
      </c>
      <c r="J124" s="23" t="s">
        <v>420</v>
      </c>
      <c r="K124" s="23" t="s">
        <v>421</v>
      </c>
      <c r="L124" s="13" t="s">
        <v>471</v>
      </c>
      <c r="M124" s="14" t="s">
        <v>472</v>
      </c>
      <c r="N124" s="13">
        <v>1978</v>
      </c>
      <c r="O124" s="13"/>
    </row>
    <row r="125" spans="1:15" ht="40.5" customHeight="1">
      <c r="A125" s="22">
        <v>139</v>
      </c>
      <c r="B125" s="22">
        <f t="shared" si="2"/>
        <v>56</v>
      </c>
      <c r="C125" s="23" t="s">
        <v>182</v>
      </c>
      <c r="D125" s="23"/>
      <c r="E125" s="23"/>
      <c r="F125" s="33" t="s">
        <v>183</v>
      </c>
      <c r="G125" s="13" t="s">
        <v>184</v>
      </c>
      <c r="H125" s="13"/>
      <c r="I125" s="23" t="s">
        <v>37</v>
      </c>
      <c r="J125" s="23" t="s">
        <v>21</v>
      </c>
      <c r="K125" s="23"/>
      <c r="L125" s="13"/>
      <c r="M125" s="13"/>
      <c r="N125" s="13"/>
      <c r="O125" s="13"/>
    </row>
    <row r="126" spans="1:15" ht="82.5">
      <c r="A126" s="22">
        <v>141</v>
      </c>
      <c r="B126" s="22">
        <f t="shared" si="2"/>
        <v>57</v>
      </c>
      <c r="C126" s="23" t="s">
        <v>389</v>
      </c>
      <c r="D126" s="23"/>
      <c r="E126" s="23"/>
      <c r="F126" s="33" t="s">
        <v>88</v>
      </c>
      <c r="G126" s="13" t="s">
        <v>445</v>
      </c>
      <c r="H126" s="13"/>
      <c r="I126" s="23" t="s">
        <v>37</v>
      </c>
      <c r="J126" s="23" t="s">
        <v>25</v>
      </c>
      <c r="K126" s="23" t="s">
        <v>390</v>
      </c>
      <c r="L126" s="13" t="s">
        <v>391</v>
      </c>
      <c r="M126" s="13" t="s">
        <v>392</v>
      </c>
      <c r="N126" s="13"/>
      <c r="O126" s="13"/>
    </row>
    <row r="127" spans="1:15" ht="82.5">
      <c r="A127" s="22">
        <v>142</v>
      </c>
      <c r="B127" s="22">
        <f t="shared" si="2"/>
        <v>58</v>
      </c>
      <c r="C127" s="23" t="s">
        <v>754</v>
      </c>
      <c r="D127" s="23"/>
      <c r="E127" s="23" t="s">
        <v>25</v>
      </c>
      <c r="F127" s="33" t="s">
        <v>695</v>
      </c>
      <c r="G127" s="13" t="s">
        <v>697</v>
      </c>
      <c r="H127" s="132" t="s">
        <v>696</v>
      </c>
      <c r="I127" s="23" t="s">
        <v>755</v>
      </c>
      <c r="J127" s="23" t="s">
        <v>185</v>
      </c>
      <c r="K127" s="23" t="s">
        <v>433</v>
      </c>
      <c r="L127" s="13" t="s">
        <v>434</v>
      </c>
      <c r="M127" s="19" t="s">
        <v>388</v>
      </c>
      <c r="N127" s="13"/>
      <c r="O127" s="13"/>
    </row>
    <row r="128" spans="1:15" ht="16.5">
      <c r="A128" s="22">
        <v>143</v>
      </c>
      <c r="B128" s="22">
        <f t="shared" si="2"/>
        <v>59</v>
      </c>
      <c r="C128" s="23" t="s">
        <v>186</v>
      </c>
      <c r="D128" s="23"/>
      <c r="E128" s="23"/>
      <c r="F128" s="33"/>
      <c r="G128" s="13"/>
      <c r="H128" s="13"/>
      <c r="I128" s="23" t="s">
        <v>37</v>
      </c>
      <c r="J128" s="23" t="s">
        <v>32</v>
      </c>
      <c r="K128" s="23"/>
      <c r="L128" s="13"/>
      <c r="M128" s="13"/>
      <c r="N128" s="13"/>
      <c r="O128" s="13"/>
    </row>
    <row r="129" spans="1:15" ht="70.5" customHeight="1">
      <c r="A129" s="22">
        <v>144</v>
      </c>
      <c r="B129" s="22">
        <f t="shared" si="2"/>
        <v>60</v>
      </c>
      <c r="C129" s="23" t="s">
        <v>394</v>
      </c>
      <c r="D129" s="23"/>
      <c r="E129" s="23"/>
      <c r="F129" s="33" t="s">
        <v>384</v>
      </c>
      <c r="G129" s="13" t="s">
        <v>396</v>
      </c>
      <c r="H129" s="13"/>
      <c r="I129" s="23" t="s">
        <v>259</v>
      </c>
      <c r="J129" s="23" t="s">
        <v>25</v>
      </c>
      <c r="K129" s="23" t="s">
        <v>395</v>
      </c>
      <c r="L129" s="13">
        <v>841225560</v>
      </c>
      <c r="M129" s="13"/>
      <c r="N129" s="13"/>
      <c r="O129" s="13"/>
    </row>
    <row r="130" spans="1:15" ht="54.75" customHeight="1">
      <c r="A130" s="22">
        <v>146</v>
      </c>
      <c r="B130" s="22">
        <f t="shared" si="2"/>
        <v>61</v>
      </c>
      <c r="C130" s="23" t="s">
        <v>193</v>
      </c>
      <c r="D130" s="23"/>
      <c r="E130" s="23"/>
      <c r="F130" s="33"/>
      <c r="G130" s="13"/>
      <c r="H130" s="13"/>
      <c r="I130" s="23" t="s">
        <v>599</v>
      </c>
      <c r="J130" s="23" t="s">
        <v>55</v>
      </c>
      <c r="K130" s="23"/>
      <c r="L130" s="13"/>
      <c r="M130" s="13"/>
      <c r="N130" s="13"/>
      <c r="O130" s="13"/>
    </row>
    <row r="131" spans="1:15" ht="33">
      <c r="A131" s="22">
        <v>147</v>
      </c>
      <c r="B131" s="22">
        <f t="shared" si="2"/>
        <v>62</v>
      </c>
      <c r="C131" s="23" t="s">
        <v>194</v>
      </c>
      <c r="D131" s="23"/>
      <c r="E131" s="23"/>
      <c r="F131" s="33" t="s">
        <v>63</v>
      </c>
      <c r="G131" s="13" t="s">
        <v>584</v>
      </c>
      <c r="H131" s="13"/>
      <c r="I131" s="23" t="s">
        <v>641</v>
      </c>
      <c r="J131" s="23" t="s">
        <v>642</v>
      </c>
      <c r="K131" s="34" t="s">
        <v>643</v>
      </c>
      <c r="L131" s="13">
        <v>863795050</v>
      </c>
      <c r="M131" s="13"/>
      <c r="N131" s="13"/>
      <c r="O131" s="13"/>
    </row>
    <row r="132" spans="1:15" ht="49.5">
      <c r="A132" s="22">
        <v>149</v>
      </c>
      <c r="B132" s="22">
        <f t="shared" si="2"/>
        <v>63</v>
      </c>
      <c r="C132" s="23" t="s">
        <v>197</v>
      </c>
      <c r="D132" s="23"/>
      <c r="E132" s="23"/>
      <c r="F132" s="33" t="s">
        <v>155</v>
      </c>
      <c r="G132" s="13" t="s">
        <v>674</v>
      </c>
      <c r="H132" s="13" t="s">
        <v>673</v>
      </c>
      <c r="I132" s="23" t="s">
        <v>672</v>
      </c>
      <c r="J132" s="23" t="s">
        <v>671</v>
      </c>
      <c r="K132" s="23"/>
      <c r="L132" s="13"/>
      <c r="M132" s="13"/>
      <c r="N132" s="13"/>
      <c r="O132" s="13"/>
    </row>
    <row r="133" spans="1:15" ht="48.75" customHeight="1">
      <c r="A133" s="22">
        <v>152</v>
      </c>
      <c r="B133" s="22">
        <f t="shared" si="2"/>
        <v>64</v>
      </c>
      <c r="C133" s="23" t="s">
        <v>198</v>
      </c>
      <c r="D133" s="23"/>
      <c r="E133" s="23" t="s">
        <v>975</v>
      </c>
      <c r="F133" s="33" t="s">
        <v>974</v>
      </c>
      <c r="G133" s="13" t="s">
        <v>600</v>
      </c>
      <c r="H133" s="13"/>
      <c r="I133" s="23" t="s">
        <v>195</v>
      </c>
      <c r="J133" s="23" t="s">
        <v>158</v>
      </c>
      <c r="K133" s="23" t="s">
        <v>976</v>
      </c>
      <c r="L133" s="13" t="s">
        <v>977</v>
      </c>
      <c r="M133" s="13" t="s">
        <v>978</v>
      </c>
      <c r="N133" s="13"/>
      <c r="O133" s="13"/>
    </row>
    <row r="134" spans="1:15" ht="66">
      <c r="A134" s="22">
        <v>154</v>
      </c>
      <c r="B134" s="22">
        <f t="shared" si="2"/>
        <v>65</v>
      </c>
      <c r="C134" s="23" t="s">
        <v>794</v>
      </c>
      <c r="D134" s="23"/>
      <c r="E134" s="23"/>
      <c r="F134" s="33"/>
      <c r="G134" s="13" t="s">
        <v>795</v>
      </c>
      <c r="H134" s="13"/>
      <c r="I134" s="23" t="s">
        <v>585</v>
      </c>
      <c r="J134" s="23" t="s">
        <v>154</v>
      </c>
      <c r="K134" s="23"/>
      <c r="L134" s="13">
        <v>878405343</v>
      </c>
      <c r="M134" s="13"/>
      <c r="N134" s="13"/>
      <c r="O134" s="13"/>
    </row>
    <row r="135" spans="1:15" ht="82.5">
      <c r="A135" s="22">
        <v>156</v>
      </c>
      <c r="B135" s="22">
        <f t="shared" si="2"/>
        <v>66</v>
      </c>
      <c r="C135" s="23" t="s">
        <v>397</v>
      </c>
      <c r="D135" s="23"/>
      <c r="E135" s="29"/>
      <c r="F135" s="33" t="s">
        <v>698</v>
      </c>
      <c r="G135" s="13" t="s">
        <v>444</v>
      </c>
      <c r="H135" s="13"/>
      <c r="I135" s="23" t="s">
        <v>199</v>
      </c>
      <c r="J135" s="23" t="s">
        <v>200</v>
      </c>
      <c r="K135" s="23"/>
      <c r="L135" s="13"/>
      <c r="M135" s="13"/>
      <c r="N135" s="13"/>
      <c r="O135" s="13"/>
    </row>
    <row r="136" spans="1:15" ht="49.5">
      <c r="A136" s="22">
        <v>160</v>
      </c>
      <c r="B136" s="22">
        <f t="shared" si="2"/>
        <v>67</v>
      </c>
      <c r="C136" s="23" t="s">
        <v>467</v>
      </c>
      <c r="D136" s="23"/>
      <c r="E136" s="23" t="s">
        <v>576</v>
      </c>
      <c r="F136" s="33" t="s">
        <v>63</v>
      </c>
      <c r="G136" s="13" t="s">
        <v>201</v>
      </c>
      <c r="H136" s="13" t="s">
        <v>699</v>
      </c>
      <c r="I136" s="23" t="s">
        <v>37</v>
      </c>
      <c r="J136" s="23" t="s">
        <v>700</v>
      </c>
      <c r="K136" s="23" t="s">
        <v>701</v>
      </c>
      <c r="L136" s="13" t="s">
        <v>202</v>
      </c>
      <c r="M136" s="13" t="s">
        <v>203</v>
      </c>
      <c r="N136" s="13">
        <v>1994</v>
      </c>
      <c r="O136" s="13"/>
    </row>
    <row r="137" spans="1:15" ht="89.25" customHeight="1">
      <c r="A137" s="22">
        <v>161</v>
      </c>
      <c r="B137" s="22">
        <f t="shared" si="2"/>
        <v>68</v>
      </c>
      <c r="C137" s="23" t="s">
        <v>468</v>
      </c>
      <c r="D137" s="23"/>
      <c r="E137" s="23"/>
      <c r="F137" s="33" t="s">
        <v>63</v>
      </c>
      <c r="G137" s="13" t="s">
        <v>400</v>
      </c>
      <c r="H137" s="13"/>
      <c r="I137" s="23" t="s">
        <v>259</v>
      </c>
      <c r="J137" s="23" t="s">
        <v>289</v>
      </c>
      <c r="K137" s="23" t="s">
        <v>398</v>
      </c>
      <c r="L137" s="13">
        <v>823109774</v>
      </c>
      <c r="M137" s="13" t="s">
        <v>399</v>
      </c>
      <c r="N137" s="13"/>
      <c r="O137" s="13"/>
    </row>
    <row r="138" spans="1:15" ht="49.5">
      <c r="A138" s="22">
        <v>162</v>
      </c>
      <c r="B138" s="22">
        <f t="shared" si="2"/>
        <v>69</v>
      </c>
      <c r="C138" s="23" t="s">
        <v>801</v>
      </c>
      <c r="D138" s="23"/>
      <c r="E138" s="23" t="s">
        <v>731</v>
      </c>
      <c r="F138" s="33" t="s">
        <v>698</v>
      </c>
      <c r="G138" s="13" t="s">
        <v>737</v>
      </c>
      <c r="H138" s="13"/>
      <c r="I138" s="23" t="s">
        <v>733</v>
      </c>
      <c r="J138" s="23" t="s">
        <v>732</v>
      </c>
      <c r="K138" s="23"/>
      <c r="L138" s="13" t="s">
        <v>738</v>
      </c>
      <c r="M138" s="14" t="s">
        <v>739</v>
      </c>
      <c r="N138" s="13"/>
      <c r="O138" s="13"/>
    </row>
    <row r="139" spans="1:15" ht="55.5" customHeight="1">
      <c r="A139" s="22">
        <v>164</v>
      </c>
      <c r="B139" s="22">
        <f t="shared" si="2"/>
        <v>70</v>
      </c>
      <c r="C139" s="23" t="s">
        <v>209</v>
      </c>
      <c r="D139" s="23"/>
      <c r="E139" s="23"/>
      <c r="F139" s="33" t="s">
        <v>122</v>
      </c>
      <c r="G139" s="13" t="s">
        <v>210</v>
      </c>
      <c r="H139" s="13"/>
      <c r="I139" s="23" t="s">
        <v>37</v>
      </c>
      <c r="J139" s="23" t="s">
        <v>25</v>
      </c>
      <c r="K139" s="23" t="s">
        <v>211</v>
      </c>
      <c r="L139" s="13">
        <v>824279410</v>
      </c>
      <c r="M139" s="13" t="s">
        <v>212</v>
      </c>
      <c r="N139" s="13"/>
      <c r="O139" s="13"/>
    </row>
    <row r="140" spans="1:15" ht="45" customHeight="1">
      <c r="A140" s="22">
        <v>165</v>
      </c>
      <c r="B140" s="22">
        <f t="shared" si="2"/>
        <v>71</v>
      </c>
      <c r="C140" s="23" t="s">
        <v>213</v>
      </c>
      <c r="D140" s="23"/>
      <c r="E140" s="23"/>
      <c r="F140" s="33"/>
      <c r="G140" s="13"/>
      <c r="H140" s="13"/>
      <c r="I140" s="23" t="s">
        <v>214</v>
      </c>
      <c r="J140" s="23" t="s">
        <v>19</v>
      </c>
      <c r="K140" s="23"/>
      <c r="L140" s="13"/>
      <c r="M140" s="13"/>
      <c r="N140" s="13"/>
      <c r="O140" s="13"/>
    </row>
    <row r="141" spans="1:15" ht="33">
      <c r="A141" s="22">
        <v>166</v>
      </c>
      <c r="B141" s="22">
        <f t="shared" si="2"/>
        <v>72</v>
      </c>
      <c r="C141" s="23" t="s">
        <v>215</v>
      </c>
      <c r="D141" s="23"/>
      <c r="E141" s="23" t="s">
        <v>748</v>
      </c>
      <c r="F141" s="33" t="s">
        <v>749</v>
      </c>
      <c r="G141" s="13" t="s">
        <v>750</v>
      </c>
      <c r="H141" s="13"/>
      <c r="I141" s="23" t="s">
        <v>751</v>
      </c>
      <c r="J141" s="23" t="s">
        <v>25</v>
      </c>
      <c r="K141" s="23" t="s">
        <v>435</v>
      </c>
      <c r="L141" s="13">
        <v>820495910</v>
      </c>
      <c r="M141" s="13"/>
      <c r="N141" s="13"/>
      <c r="O141" s="13"/>
    </row>
    <row r="142" spans="1:15" ht="42.75" customHeight="1">
      <c r="A142" s="22">
        <v>168</v>
      </c>
      <c r="B142" s="22">
        <f t="shared" si="2"/>
        <v>73</v>
      </c>
      <c r="C142" s="23" t="s">
        <v>217</v>
      </c>
      <c r="D142" s="23"/>
      <c r="E142" s="23"/>
      <c r="F142" s="33" t="s">
        <v>146</v>
      </c>
      <c r="G142" s="13" t="s">
        <v>216</v>
      </c>
      <c r="H142" s="13"/>
      <c r="I142" s="23" t="s">
        <v>438</v>
      </c>
      <c r="J142" s="23" t="s">
        <v>437</v>
      </c>
      <c r="K142" s="23" t="s">
        <v>435</v>
      </c>
      <c r="L142" s="13" t="s">
        <v>436</v>
      </c>
      <c r="M142" s="13" t="s">
        <v>401</v>
      </c>
      <c r="N142" s="13"/>
      <c r="O142" s="13"/>
    </row>
    <row r="143" spans="1:15" ht="52.5" customHeight="1">
      <c r="A143" s="22">
        <v>169</v>
      </c>
      <c r="B143" s="22">
        <f t="shared" si="2"/>
        <v>74</v>
      </c>
      <c r="C143" s="23" t="s">
        <v>218</v>
      </c>
      <c r="D143" s="23"/>
      <c r="E143" s="23"/>
      <c r="F143" s="33"/>
      <c r="G143" s="13" t="s">
        <v>602</v>
      </c>
      <c r="H143" s="13"/>
      <c r="I143" s="23" t="s">
        <v>603</v>
      </c>
      <c r="J143" s="23" t="s">
        <v>32</v>
      </c>
      <c r="K143" s="23"/>
      <c r="L143" s="13"/>
      <c r="M143" s="13"/>
      <c r="N143" s="13"/>
      <c r="O143" s="13"/>
    </row>
    <row r="144" spans="1:15" ht="66">
      <c r="A144" s="22">
        <v>170</v>
      </c>
      <c r="B144" s="22">
        <f t="shared" si="2"/>
        <v>75</v>
      </c>
      <c r="C144" s="23" t="s">
        <v>221</v>
      </c>
      <c r="D144" s="23"/>
      <c r="E144" s="23"/>
      <c r="F144" s="33" t="s">
        <v>219</v>
      </c>
      <c r="G144" s="128" t="s">
        <v>220</v>
      </c>
      <c r="H144" s="13"/>
      <c r="I144" s="23" t="s">
        <v>764</v>
      </c>
      <c r="J144" s="23" t="s">
        <v>763</v>
      </c>
      <c r="K144" s="23" t="s">
        <v>765</v>
      </c>
      <c r="L144" s="13" t="s">
        <v>766</v>
      </c>
      <c r="M144" s="13"/>
      <c r="N144" s="13"/>
      <c r="O144" s="13"/>
    </row>
    <row r="145" spans="1:15" ht="49.5">
      <c r="A145" s="22">
        <v>171</v>
      </c>
      <c r="B145" s="22">
        <f t="shared" si="2"/>
        <v>76</v>
      </c>
      <c r="C145" s="23" t="s">
        <v>222</v>
      </c>
      <c r="D145" s="23"/>
      <c r="E145" s="23" t="s">
        <v>576</v>
      </c>
      <c r="F145" s="33" t="s">
        <v>758</v>
      </c>
      <c r="G145" s="13" t="s">
        <v>403</v>
      </c>
      <c r="H145" s="13"/>
      <c r="I145" s="23" t="s">
        <v>759</v>
      </c>
      <c r="J145" s="23" t="s">
        <v>760</v>
      </c>
      <c r="K145" s="23" t="s">
        <v>439</v>
      </c>
      <c r="L145" s="13" t="s">
        <v>440</v>
      </c>
      <c r="M145" s="13" t="s">
        <v>402</v>
      </c>
      <c r="N145" s="13"/>
      <c r="O145" s="13"/>
    </row>
    <row r="146" spans="1:15" ht="106.5" customHeight="1">
      <c r="A146" s="22">
        <v>172</v>
      </c>
      <c r="B146" s="22">
        <f t="shared" si="2"/>
        <v>77</v>
      </c>
      <c r="C146" s="23" t="s">
        <v>225</v>
      </c>
      <c r="D146" s="23"/>
      <c r="E146" s="23" t="s">
        <v>529</v>
      </c>
      <c r="F146" s="33" t="s">
        <v>223</v>
      </c>
      <c r="G146" s="13" t="s">
        <v>690</v>
      </c>
      <c r="H146" s="13" t="s">
        <v>530</v>
      </c>
      <c r="I146" s="23" t="s">
        <v>691</v>
      </c>
      <c r="J146" s="23" t="s">
        <v>224</v>
      </c>
      <c r="K146" s="23" t="s">
        <v>531</v>
      </c>
      <c r="L146" s="13" t="s">
        <v>532</v>
      </c>
      <c r="M146" s="13" t="s">
        <v>404</v>
      </c>
      <c r="N146" s="13">
        <v>2022</v>
      </c>
      <c r="O146" s="13"/>
    </row>
    <row r="147" spans="1:15" ht="28.5">
      <c r="A147" s="22">
        <v>173</v>
      </c>
      <c r="B147" s="22">
        <f t="shared" si="2"/>
        <v>78</v>
      </c>
      <c r="C147" s="23" t="s">
        <v>227</v>
      </c>
      <c r="D147" s="23"/>
      <c r="E147" s="26" t="s">
        <v>25</v>
      </c>
      <c r="F147" s="26" t="s">
        <v>63</v>
      </c>
      <c r="G147" s="31" t="s">
        <v>504</v>
      </c>
      <c r="H147" s="13" t="s">
        <v>488</v>
      </c>
      <c r="I147" s="27" t="s">
        <v>505</v>
      </c>
      <c r="J147" s="27" t="s">
        <v>506</v>
      </c>
      <c r="K147" s="26" t="s">
        <v>507</v>
      </c>
      <c r="L147" s="26">
        <v>822355620</v>
      </c>
      <c r="M147" s="18" t="s">
        <v>508</v>
      </c>
      <c r="N147" s="26">
        <v>2020</v>
      </c>
      <c r="O147" s="13"/>
    </row>
    <row r="148" spans="1:15" ht="66">
      <c r="A148" s="22">
        <v>174</v>
      </c>
      <c r="B148" s="22">
        <f t="shared" si="2"/>
        <v>79</v>
      </c>
      <c r="C148" s="23" t="s">
        <v>231</v>
      </c>
      <c r="D148" s="23"/>
      <c r="E148" s="23" t="s">
        <v>703</v>
      </c>
      <c r="F148" s="33" t="s">
        <v>48</v>
      </c>
      <c r="G148" s="13" t="s">
        <v>228</v>
      </c>
      <c r="H148" s="13"/>
      <c r="I148" s="23" t="s">
        <v>229</v>
      </c>
      <c r="J148" s="23" t="s">
        <v>230</v>
      </c>
      <c r="K148" s="23" t="s">
        <v>479</v>
      </c>
      <c r="L148" s="45" t="s">
        <v>480</v>
      </c>
      <c r="M148" s="13" t="s">
        <v>478</v>
      </c>
      <c r="N148" s="13"/>
      <c r="O148" s="13"/>
    </row>
    <row r="149" spans="1:15" ht="16.5">
      <c r="A149" s="22">
        <v>175</v>
      </c>
      <c r="B149" s="22">
        <f t="shared" si="2"/>
        <v>80</v>
      </c>
      <c r="C149" s="23" t="s">
        <v>233</v>
      </c>
      <c r="D149" s="23"/>
      <c r="E149" s="23" t="s">
        <v>740</v>
      </c>
      <c r="F149" s="33" t="s">
        <v>35</v>
      </c>
      <c r="G149" s="13" t="s">
        <v>22</v>
      </c>
      <c r="H149" s="13"/>
      <c r="I149" s="23" t="s">
        <v>22</v>
      </c>
      <c r="J149" s="23" t="s">
        <v>741</v>
      </c>
      <c r="K149" s="23"/>
      <c r="L149" s="13"/>
      <c r="M149" s="13"/>
      <c r="N149" s="13"/>
      <c r="O149" s="13"/>
    </row>
    <row r="150" spans="1:15" ht="115.5">
      <c r="A150" s="22">
        <v>176</v>
      </c>
      <c r="B150" s="22">
        <f t="shared" si="2"/>
        <v>81</v>
      </c>
      <c r="C150" s="23" t="s">
        <v>237</v>
      </c>
      <c r="D150" s="23"/>
      <c r="E150" s="23" t="s">
        <v>234</v>
      </c>
      <c r="F150" s="33" t="s">
        <v>146</v>
      </c>
      <c r="G150" s="13" t="s">
        <v>235</v>
      </c>
      <c r="H150" s="13"/>
      <c r="I150" s="23" t="s">
        <v>102</v>
      </c>
      <c r="J150" s="23" t="s">
        <v>258</v>
      </c>
      <c r="K150" s="23" t="s">
        <v>236</v>
      </c>
      <c r="L150" s="13" t="s">
        <v>256</v>
      </c>
      <c r="M150" s="13" t="s">
        <v>257</v>
      </c>
      <c r="N150" s="13"/>
      <c r="O150" s="13"/>
    </row>
    <row r="151" spans="1:15" ht="16.5">
      <c r="A151" s="22">
        <v>177</v>
      </c>
      <c r="B151" s="22">
        <f t="shared" si="2"/>
        <v>82</v>
      </c>
      <c r="C151" s="23" t="s">
        <v>238</v>
      </c>
      <c r="D151" s="23"/>
      <c r="E151" s="23"/>
      <c r="F151" s="33"/>
      <c r="G151" s="13"/>
      <c r="H151" s="13"/>
      <c r="I151" s="23"/>
      <c r="J151" s="23" t="s">
        <v>21</v>
      </c>
      <c r="K151" s="23"/>
      <c r="L151" s="13"/>
      <c r="M151" s="13"/>
      <c r="N151" s="13"/>
      <c r="O151" s="13"/>
    </row>
    <row r="152" spans="1:15" ht="16.5">
      <c r="A152" s="22">
        <v>180</v>
      </c>
      <c r="B152" s="22">
        <f t="shared" si="2"/>
        <v>83</v>
      </c>
      <c r="C152" s="23" t="s">
        <v>240</v>
      </c>
      <c r="D152" s="23"/>
      <c r="E152" s="23"/>
      <c r="F152" s="33"/>
      <c r="G152" s="13"/>
      <c r="H152" s="13"/>
      <c r="I152" s="23" t="s">
        <v>22</v>
      </c>
      <c r="J152" s="23" t="s">
        <v>25</v>
      </c>
      <c r="K152" s="23"/>
      <c r="L152" s="13"/>
      <c r="M152" s="13"/>
      <c r="N152" s="13"/>
      <c r="O152" s="13"/>
    </row>
    <row r="153" spans="1:15" ht="49.5">
      <c r="A153" s="22">
        <v>181</v>
      </c>
      <c r="B153" s="22">
        <f t="shared" si="2"/>
        <v>84</v>
      </c>
      <c r="C153" s="23" t="s">
        <v>408</v>
      </c>
      <c r="D153" s="23"/>
      <c r="E153" s="23" t="s">
        <v>698</v>
      </c>
      <c r="F153" s="33" t="s">
        <v>63</v>
      </c>
      <c r="G153" s="13" t="s">
        <v>241</v>
      </c>
      <c r="H153" s="13"/>
      <c r="I153" s="23" t="s">
        <v>28</v>
      </c>
      <c r="J153" s="23"/>
      <c r="K153" s="23"/>
      <c r="L153" s="13"/>
      <c r="M153" s="13"/>
      <c r="N153" s="13"/>
      <c r="O153" s="13"/>
    </row>
    <row r="154" spans="1:15" ht="49.5">
      <c r="A154" s="22">
        <v>182</v>
      </c>
      <c r="B154" s="22">
        <f t="shared" si="2"/>
        <v>85</v>
      </c>
      <c r="C154" s="23" t="s">
        <v>242</v>
      </c>
      <c r="D154" s="23"/>
      <c r="E154" s="23"/>
      <c r="F154" s="33" t="s">
        <v>409</v>
      </c>
      <c r="G154" s="13" t="s">
        <v>442</v>
      </c>
      <c r="H154" s="13"/>
      <c r="I154" s="23" t="s">
        <v>410</v>
      </c>
      <c r="J154" s="23" t="s">
        <v>289</v>
      </c>
      <c r="K154" s="23"/>
      <c r="L154" s="13"/>
      <c r="M154" s="13"/>
      <c r="N154" s="13"/>
      <c r="O154" s="13"/>
    </row>
    <row r="155" spans="1:15" ht="33" customHeight="1">
      <c r="A155" s="22">
        <v>183</v>
      </c>
      <c r="B155" s="22">
        <f t="shared" si="2"/>
        <v>86</v>
      </c>
      <c r="C155" s="23" t="s">
        <v>250</v>
      </c>
      <c r="D155" s="23"/>
      <c r="E155" s="23"/>
      <c r="F155" s="33" t="s">
        <v>63</v>
      </c>
      <c r="G155" s="13" t="s">
        <v>245</v>
      </c>
      <c r="H155" s="13"/>
      <c r="I155" s="23" t="s">
        <v>37</v>
      </c>
      <c r="J155" s="23" t="s">
        <v>246</v>
      </c>
      <c r="K155" s="23" t="s">
        <v>247</v>
      </c>
      <c r="L155" s="23" t="s">
        <v>248</v>
      </c>
      <c r="M155" s="13" t="s">
        <v>249</v>
      </c>
      <c r="N155" s="13"/>
      <c r="O155" s="13"/>
    </row>
    <row r="156" spans="1:15" ht="16.5">
      <c r="A156" s="22">
        <v>184</v>
      </c>
      <c r="B156" s="22">
        <f t="shared" si="2"/>
        <v>87</v>
      </c>
      <c r="C156" s="23" t="s">
        <v>411</v>
      </c>
      <c r="D156" s="23"/>
      <c r="E156" s="23"/>
      <c r="F156" s="33"/>
      <c r="G156" s="13"/>
      <c r="H156" s="13"/>
      <c r="I156" s="23" t="s">
        <v>22</v>
      </c>
      <c r="J156" s="23" t="s">
        <v>25</v>
      </c>
      <c r="K156" s="23"/>
      <c r="L156" s="23"/>
      <c r="M156" s="13"/>
      <c r="N156" s="13"/>
      <c r="O156" s="13"/>
    </row>
    <row r="157" spans="1:15" ht="50.25" thickBot="1">
      <c r="A157" s="46"/>
      <c r="B157" s="22">
        <f t="shared" si="2"/>
        <v>88</v>
      </c>
      <c r="C157" s="23" t="s">
        <v>251</v>
      </c>
      <c r="D157" s="23"/>
      <c r="E157" s="124"/>
      <c r="F157" s="33" t="s">
        <v>63</v>
      </c>
      <c r="G157" s="13" t="s">
        <v>416</v>
      </c>
      <c r="H157" s="13"/>
      <c r="I157" s="23" t="s">
        <v>415</v>
      </c>
      <c r="J157" s="23" t="s">
        <v>417</v>
      </c>
      <c r="K157" s="23" t="s">
        <v>412</v>
      </c>
      <c r="L157" s="23" t="s">
        <v>413</v>
      </c>
      <c r="M157" s="13" t="s">
        <v>414</v>
      </c>
      <c r="N157" s="139"/>
      <c r="O157" s="13"/>
    </row>
    <row r="158" spans="1:15" ht="33" customHeight="1">
      <c r="A158" s="46"/>
      <c r="B158" s="22">
        <f t="shared" si="2"/>
        <v>89</v>
      </c>
      <c r="C158" s="23" t="s">
        <v>1191</v>
      </c>
      <c r="D158" s="23"/>
      <c r="E158" s="49"/>
      <c r="F158" s="33"/>
      <c r="G158" s="13"/>
      <c r="H158" s="13"/>
      <c r="I158" s="23"/>
      <c r="J158" s="23"/>
      <c r="K158" s="23"/>
      <c r="L158" s="23"/>
      <c r="M158" s="13"/>
      <c r="N158" s="20" t="s">
        <v>1177</v>
      </c>
      <c r="O158" s="13"/>
    </row>
    <row r="159" spans="1:15" ht="33">
      <c r="A159" s="47"/>
      <c r="B159" s="22">
        <f t="shared" si="2"/>
        <v>90</v>
      </c>
      <c r="C159" s="23" t="s">
        <v>458</v>
      </c>
      <c r="D159" s="23"/>
      <c r="E159" s="23"/>
      <c r="F159" s="33" t="s">
        <v>63</v>
      </c>
      <c r="G159" s="13" t="s">
        <v>252</v>
      </c>
      <c r="H159" s="13"/>
      <c r="I159" s="23" t="s">
        <v>252</v>
      </c>
      <c r="J159" s="23" t="s">
        <v>158</v>
      </c>
      <c r="K159" s="23" t="s">
        <v>587</v>
      </c>
      <c r="L159" s="23">
        <v>865252526</v>
      </c>
      <c r="M159" s="13"/>
      <c r="N159" s="13"/>
      <c r="O159" s="13"/>
    </row>
    <row r="160" spans="1:15" ht="82.5">
      <c r="A160" s="47"/>
      <c r="B160" s="22">
        <f t="shared" si="2"/>
        <v>91</v>
      </c>
      <c r="C160" s="23" t="s">
        <v>790</v>
      </c>
      <c r="D160" s="23"/>
      <c r="E160" s="23" t="s">
        <v>663</v>
      </c>
      <c r="F160" s="33" t="s">
        <v>219</v>
      </c>
      <c r="G160" s="13" t="s">
        <v>665</v>
      </c>
      <c r="H160" s="13" t="s">
        <v>666</v>
      </c>
      <c r="I160" s="23" t="s">
        <v>664</v>
      </c>
      <c r="J160" s="23" t="s">
        <v>652</v>
      </c>
      <c r="K160" s="23"/>
      <c r="L160" s="13"/>
      <c r="M160" s="13"/>
      <c r="N160" s="13">
        <v>2021</v>
      </c>
      <c r="O160" s="13"/>
    </row>
    <row r="161" spans="1:15" ht="33">
      <c r="A161" s="47"/>
      <c r="B161" s="47"/>
      <c r="C161" s="23" t="s">
        <v>966</v>
      </c>
      <c r="D161" s="23"/>
      <c r="E161" s="23"/>
      <c r="F161" s="33" t="s">
        <v>967</v>
      </c>
      <c r="G161" s="13" t="s">
        <v>968</v>
      </c>
      <c r="H161" s="13"/>
      <c r="I161" s="23" t="s">
        <v>969</v>
      </c>
      <c r="J161" s="23" t="s">
        <v>970</v>
      </c>
      <c r="K161" s="23" t="s">
        <v>971</v>
      </c>
      <c r="L161" s="13" t="s">
        <v>972</v>
      </c>
      <c r="M161" s="13" t="s">
        <v>973</v>
      </c>
      <c r="N161" s="13"/>
      <c r="O161" s="13"/>
    </row>
    <row r="162" spans="1:15" ht="16.5">
      <c r="E162" s="49"/>
      <c r="F162" s="118"/>
      <c r="G162" s="20"/>
      <c r="H162" s="20"/>
      <c r="I162" s="49"/>
      <c r="J162" s="49"/>
      <c r="K162" s="49"/>
      <c r="L162" s="20"/>
      <c r="M162" s="20"/>
      <c r="N162" s="20"/>
      <c r="O162" s="20"/>
    </row>
    <row r="163" spans="1:15">
      <c r="E163" s="113"/>
      <c r="F163" s="113"/>
      <c r="G163" s="10"/>
      <c r="H163" s="10"/>
      <c r="I163" s="112" t="s">
        <v>791</v>
      </c>
      <c r="J163" s="10"/>
      <c r="K163" s="10"/>
      <c r="L163" s="10"/>
      <c r="M163" s="10"/>
      <c r="N163" s="10"/>
      <c r="O163" s="10"/>
    </row>
    <row r="164" spans="1:15">
      <c r="E164" s="111"/>
      <c r="F164" s="113"/>
      <c r="G164" s="7"/>
      <c r="H164" s="7"/>
      <c r="I164" s="111"/>
      <c r="J164" s="7"/>
      <c r="K164" s="7"/>
      <c r="L164" s="7"/>
    </row>
    <row r="165" spans="1:15">
      <c r="E165" s="113"/>
      <c r="F165" s="113"/>
      <c r="G165" s="10"/>
      <c r="H165" s="10"/>
      <c r="I165" s="113" t="s">
        <v>960</v>
      </c>
      <c r="J165" s="10"/>
      <c r="K165" s="10"/>
      <c r="L165" s="10"/>
      <c r="M165" s="10"/>
      <c r="N165" s="10"/>
      <c r="O165" s="10"/>
    </row>
    <row r="166" spans="1:15">
      <c r="E166" s="113"/>
      <c r="F166" s="113"/>
      <c r="G166" s="10"/>
      <c r="H166" s="10"/>
      <c r="I166" s="113"/>
      <c r="J166" s="10"/>
      <c r="K166" s="10"/>
      <c r="L166" s="10"/>
    </row>
    <row r="167" spans="1:15">
      <c r="E167" s="113"/>
      <c r="F167" s="113"/>
      <c r="G167" s="10"/>
      <c r="H167" s="10"/>
      <c r="I167" s="114" t="s">
        <v>482</v>
      </c>
      <c r="J167" s="10"/>
      <c r="K167" s="10"/>
      <c r="L167" s="10"/>
      <c r="M167" s="10"/>
      <c r="N167" s="10"/>
      <c r="O167" s="10"/>
    </row>
    <row r="168" spans="1:15">
      <c r="C168" s="111"/>
      <c r="D168" s="111"/>
      <c r="E168" s="113"/>
      <c r="F168" s="113"/>
      <c r="G168" s="10"/>
      <c r="H168" s="10"/>
      <c r="I168" s="113" t="s">
        <v>483</v>
      </c>
      <c r="J168" s="10"/>
      <c r="K168" s="10"/>
      <c r="L168" s="10"/>
      <c r="M168" s="10"/>
      <c r="N168" s="10"/>
      <c r="O168" s="10"/>
    </row>
    <row r="169" spans="1:15">
      <c r="C169" s="111"/>
      <c r="D169" s="111"/>
      <c r="I169" s="6"/>
      <c r="J169" s="1"/>
      <c r="K169" s="1"/>
    </row>
    <row r="170" spans="1:15">
      <c r="I170" s="6"/>
      <c r="J170" s="1"/>
      <c r="K170" s="1"/>
    </row>
  </sheetData>
  <mergeCells count="24">
    <mergeCell ref="A8:O8"/>
    <mergeCell ref="A9:O9"/>
    <mergeCell ref="A10:O10"/>
    <mergeCell ref="A11:O11"/>
    <mergeCell ref="A12:A13"/>
    <mergeCell ref="B12:B13"/>
    <mergeCell ref="O12:O13"/>
    <mergeCell ref="G12:G13"/>
    <mergeCell ref="A7:O7"/>
    <mergeCell ref="A2:O2"/>
    <mergeCell ref="A3:O3"/>
    <mergeCell ref="A4:O4"/>
    <mergeCell ref="A5:O5"/>
    <mergeCell ref="A6:O6"/>
    <mergeCell ref="N12:N13"/>
    <mergeCell ref="I12:I13"/>
    <mergeCell ref="J12:J13"/>
    <mergeCell ref="H12:H13"/>
    <mergeCell ref="C12:C13"/>
    <mergeCell ref="D12:D13"/>
    <mergeCell ref="E12:E13"/>
    <mergeCell ref="F12:F13"/>
    <mergeCell ref="K12:K13"/>
    <mergeCell ref="L12:M12"/>
  </mergeCells>
  <hyperlinks>
    <hyperlink ref="M139" r:id="rId1"/>
    <hyperlink ref="M58" r:id="rId2"/>
    <hyperlink ref="M155" r:id="rId3"/>
    <hyperlink ref="M136" r:id="rId4"/>
    <hyperlink ref="M75" r:id="rId5"/>
    <hyperlink ref="M65" r:id="rId6"/>
    <hyperlink ref="M28" r:id="rId7" display="albertovasco1993@gmail.com/ "/>
    <hyperlink ref="M22" r:id="rId8"/>
    <hyperlink ref="M88" r:id="rId9"/>
    <hyperlink ref="M66" r:id="rId10"/>
    <hyperlink ref="M97" r:id="rId11"/>
    <hyperlink ref="M57" r:id="rId12"/>
    <hyperlink ref="M126" r:id="rId13"/>
    <hyperlink ref="M108" r:id="rId14"/>
    <hyperlink ref="M69" r:id="rId15"/>
    <hyperlink ref="M92" r:id="rId16"/>
    <hyperlink ref="M118" r:id="rId17" display="mcunhaque@jhuccp.org.mz"/>
    <hyperlink ref="M67" r:id="rId18"/>
    <hyperlink ref="M109" r:id="rId19" display="jan.rietz@horizont3000.org/lydia.kummer@horizont3000.org"/>
    <hyperlink ref="M146" r:id="rId20"/>
    <hyperlink ref="M49" r:id="rId21"/>
    <hyperlink ref="M46" r:id="rId22"/>
    <hyperlink ref="M21" r:id="rId23"/>
    <hyperlink ref="M30" r:id="rId24"/>
    <hyperlink ref="M157" r:id="rId25" display="christina_stellini@worlded.org/ bantwana.org"/>
    <hyperlink ref="M103" r:id="rId26"/>
    <hyperlink ref="M145" r:id="rId27" display="ochauque@snvworld.org/oraciopedrochauque@gmail.com"/>
    <hyperlink ref="M54" r:id="rId28"/>
    <hyperlink ref="M111" r:id="rId29"/>
    <hyperlink ref="M76" r:id="rId30"/>
    <hyperlink ref="M96" r:id="rId31"/>
    <hyperlink ref="M44" r:id="rId32"/>
    <hyperlink ref="M127" r:id="rId33"/>
    <hyperlink ref="M45" r:id="rId34"/>
    <hyperlink ref="M107" r:id="rId35" display="ccs.sofala@gmail.com"/>
    <hyperlink ref="M82" r:id="rId36"/>
    <hyperlink ref="M124" r:id="rId37"/>
    <hyperlink ref="M142" r:id="rId38"/>
    <hyperlink ref="M19" r:id="rId39"/>
    <hyperlink ref="M26" r:id="rId40"/>
    <hyperlink ref="M137" r:id="rId41"/>
    <hyperlink ref="M60" r:id="rId42"/>
    <hyperlink ref="M104" r:id="rId43" display="cathy.michel@healthallianceinternational.org"/>
    <hyperlink ref="M29" r:id="rId44" display="rodrigo.dereyes@gmail.com"/>
    <hyperlink ref="M150" r:id="rId45" display="mailto:edgar.jone@tearfund.org"/>
    <hyperlink ref="M59" r:id="rId46"/>
    <hyperlink ref="M40" r:id="rId47" display="elsamutemba@ccsaude.org.mz"/>
    <hyperlink ref="M48" r:id="rId48"/>
    <hyperlink ref="M36" r:id="rId49" display="patricedga@gmail.com"/>
    <hyperlink ref="M34" r:id="rId50"/>
    <hyperlink ref="M20" r:id="rId51"/>
    <hyperlink ref="M37" r:id="rId52"/>
    <hyperlink ref="M74" r:id="rId53"/>
    <hyperlink ref="M16" r:id="rId54"/>
    <hyperlink ref="M33" r:id="rId55"/>
    <hyperlink ref="M17" r:id="rId56"/>
    <hyperlink ref="M41" r:id="rId57" display="ldacambane@ifpimozambique.org/ "/>
    <hyperlink ref="M25" r:id="rId58"/>
    <hyperlink ref="M24" r:id="rId59"/>
    <hyperlink ref="M23" r:id="rId60"/>
    <hyperlink ref="M35" r:id="rId61"/>
    <hyperlink ref="M138" r:id="rId62" display="jchabuca@pircom.org.mz"/>
    <hyperlink ref="M47" r:id="rId63"/>
    <hyperlink ref="M43" r:id="rId64"/>
    <hyperlink ref="M161" r:id="rId65"/>
    <hyperlink ref="M133" r:id="rId66"/>
  </hyperlinks>
  <pageMargins left="0.7" right="0.7" top="0.75" bottom="0.75" header="0.3" footer="0.3"/>
  <pageSetup paperSize="9" scale="40" orientation="landscape" r:id="rId67"/>
  <drawing r:id="rId68"/>
  <legacyDrawing r:id="rId69"/>
  <oleObjects>
    <mc:AlternateContent xmlns:mc="http://schemas.openxmlformats.org/markup-compatibility/2006">
      <mc:Choice Requires="x14">
        <oleObject shapeId="4097" r:id="rId70">
          <objectPr defaultSize="0" autoPict="0" r:id="rId71">
            <anchor moveWithCells="1" sizeWithCells="1">
              <from>
                <xdr:col>6</xdr:col>
                <xdr:colOff>14744700</xdr:colOff>
                <xdr:row>0</xdr:row>
                <xdr:rowOff>66675</xdr:rowOff>
              </from>
              <to>
                <xdr:col>6</xdr:col>
                <xdr:colOff>15754350</xdr:colOff>
                <xdr:row>3</xdr:row>
                <xdr:rowOff>180975</xdr:rowOff>
              </to>
            </anchor>
          </objectPr>
        </oleObject>
      </mc:Choice>
      <mc:Fallback>
        <oleObject shapeId="4097" r:id="rId70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165"/>
  <sheetViews>
    <sheetView topLeftCell="B1" zoomScaleNormal="100" zoomScaleSheetLayoutView="70" workbookViewId="0">
      <pane ySplit="13" topLeftCell="A86" activePane="bottomLeft" state="frozen"/>
      <selection activeCell="B1" sqref="B1"/>
      <selection pane="bottomLeft" activeCell="C154" sqref="C154"/>
    </sheetView>
  </sheetViews>
  <sheetFormatPr defaultRowHeight="15"/>
  <cols>
    <col min="1" max="1" width="6.140625" style="1" hidden="1" customWidth="1"/>
    <col min="2" max="2" width="6.140625" style="1" customWidth="1"/>
    <col min="3" max="3" width="44.85546875" style="6" customWidth="1"/>
    <col min="4" max="4" width="23.5703125" style="6" customWidth="1"/>
    <col min="5" max="5" width="18.85546875" style="6" customWidth="1"/>
    <col min="6" max="6" width="12.140625" style="119" customWidth="1"/>
    <col min="7" max="7" width="50.140625" style="1" hidden="1" customWidth="1"/>
    <col min="8" max="8" width="17.28515625" style="1" hidden="1" customWidth="1"/>
    <col min="9" max="9" width="29.85546875" style="4" hidden="1" customWidth="1"/>
    <col min="10" max="10" width="23.7109375" style="6" hidden="1" customWidth="1"/>
    <col min="11" max="11" width="24.7109375" style="6" hidden="1" customWidth="1"/>
    <col min="12" max="12" width="23.7109375" style="1" customWidth="1"/>
    <col min="13" max="13" width="28.28515625" style="1" bestFit="1" customWidth="1"/>
    <col min="14" max="14" width="14.85546875" style="1" customWidth="1"/>
    <col min="15" max="15" width="17.7109375" style="1" customWidth="1"/>
    <col min="16" max="16" width="16.85546875" style="1" customWidth="1"/>
    <col min="17" max="16384" width="9.140625" style="1"/>
  </cols>
  <sheetData>
    <row r="1" spans="1:15" ht="16.5">
      <c r="A1" s="2"/>
      <c r="B1" s="11"/>
      <c r="C1" s="5"/>
      <c r="D1" s="5"/>
      <c r="E1" s="5"/>
      <c r="F1" s="116"/>
      <c r="G1" s="2"/>
      <c r="H1" s="2"/>
      <c r="I1" s="3"/>
      <c r="J1" s="5"/>
      <c r="K1" s="5"/>
      <c r="L1" s="2"/>
      <c r="M1" s="2"/>
      <c r="N1" s="2"/>
      <c r="O1" s="2"/>
    </row>
    <row r="2" spans="1:15" ht="16.5">
      <c r="A2" s="231"/>
      <c r="B2" s="231"/>
      <c r="C2" s="231"/>
      <c r="D2" s="231"/>
      <c r="E2" s="231"/>
      <c r="F2" s="231"/>
      <c r="G2" s="231"/>
      <c r="H2" s="231"/>
      <c r="I2" s="231"/>
      <c r="J2" s="231"/>
      <c r="K2" s="231"/>
      <c r="L2" s="231"/>
      <c r="M2" s="231"/>
      <c r="N2" s="231"/>
      <c r="O2" s="231"/>
    </row>
    <row r="3" spans="1:15" ht="16.5">
      <c r="A3" s="231"/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</row>
    <row r="4" spans="1:15" ht="16.5">
      <c r="A4" s="231"/>
      <c r="B4" s="231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</row>
    <row r="5" spans="1:15" ht="16.5">
      <c r="A5" s="230" t="s">
        <v>0</v>
      </c>
      <c r="B5" s="230"/>
      <c r="C5" s="230"/>
      <c r="D5" s="230"/>
      <c r="E5" s="230"/>
      <c r="F5" s="230"/>
      <c r="G5" s="230"/>
      <c r="H5" s="230"/>
      <c r="I5" s="230"/>
      <c r="J5" s="230"/>
      <c r="K5" s="230"/>
      <c r="L5" s="230"/>
      <c r="M5" s="230"/>
      <c r="N5" s="230"/>
      <c r="O5" s="230"/>
    </row>
    <row r="6" spans="1:15" ht="16.5">
      <c r="A6" s="230" t="s">
        <v>1</v>
      </c>
      <c r="B6" s="230"/>
      <c r="C6" s="230"/>
      <c r="D6" s="230"/>
      <c r="E6" s="230"/>
      <c r="F6" s="230"/>
      <c r="G6" s="230"/>
      <c r="H6" s="230"/>
      <c r="I6" s="230"/>
      <c r="J6" s="230"/>
      <c r="K6" s="230"/>
      <c r="L6" s="230"/>
      <c r="M6" s="230"/>
      <c r="N6" s="230"/>
      <c r="O6" s="230"/>
    </row>
    <row r="7" spans="1:15" ht="16.5">
      <c r="A7" s="230" t="s">
        <v>2</v>
      </c>
      <c r="B7" s="230"/>
      <c r="C7" s="230"/>
      <c r="D7" s="230"/>
      <c r="E7" s="230"/>
      <c r="F7" s="230"/>
      <c r="G7" s="230"/>
      <c r="H7" s="230"/>
      <c r="I7" s="230"/>
      <c r="J7" s="230"/>
      <c r="K7" s="230"/>
      <c r="L7" s="230"/>
      <c r="M7" s="230"/>
      <c r="N7" s="230"/>
      <c r="O7" s="230"/>
    </row>
    <row r="8" spans="1:15" ht="16.5">
      <c r="A8" s="229" t="s">
        <v>3</v>
      </c>
      <c r="B8" s="229"/>
      <c r="C8" s="229"/>
      <c r="D8" s="229"/>
      <c r="E8" s="229"/>
      <c r="F8" s="229"/>
      <c r="G8" s="229"/>
      <c r="H8" s="229"/>
      <c r="I8" s="229"/>
      <c r="J8" s="229"/>
      <c r="K8" s="229"/>
      <c r="L8" s="229"/>
      <c r="M8" s="229"/>
      <c r="N8" s="229"/>
      <c r="O8" s="229"/>
    </row>
    <row r="9" spans="1:15" ht="16.5">
      <c r="A9" s="230"/>
      <c r="B9" s="230"/>
      <c r="C9" s="230"/>
      <c r="D9" s="230"/>
      <c r="E9" s="230"/>
      <c r="F9" s="230"/>
      <c r="G9" s="230"/>
      <c r="H9" s="230"/>
      <c r="I9" s="230"/>
      <c r="J9" s="230"/>
      <c r="K9" s="230"/>
      <c r="L9" s="230"/>
      <c r="M9" s="230"/>
      <c r="N9" s="230"/>
      <c r="O9" s="230"/>
    </row>
    <row r="10" spans="1:15" ht="16.5">
      <c r="A10" s="229" t="s">
        <v>469</v>
      </c>
      <c r="B10" s="229"/>
      <c r="C10" s="229"/>
      <c r="D10" s="229"/>
      <c r="E10" s="229"/>
      <c r="F10" s="229"/>
      <c r="G10" s="229"/>
      <c r="H10" s="229"/>
      <c r="I10" s="229"/>
      <c r="J10" s="229"/>
      <c r="K10" s="229"/>
      <c r="L10" s="229"/>
      <c r="M10" s="229"/>
      <c r="N10" s="229"/>
      <c r="O10" s="229"/>
    </row>
    <row r="11" spans="1:15" ht="16.5">
      <c r="A11" s="231"/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</row>
    <row r="12" spans="1:15" ht="16.5">
      <c r="A12" s="228" t="s">
        <v>4</v>
      </c>
      <c r="B12" s="235"/>
      <c r="C12" s="228" t="s">
        <v>5</v>
      </c>
      <c r="D12" s="237" t="s">
        <v>981</v>
      </c>
      <c r="E12" s="228" t="s">
        <v>6</v>
      </c>
      <c r="F12" s="228" t="s">
        <v>7</v>
      </c>
      <c r="G12" s="228" t="s">
        <v>8</v>
      </c>
      <c r="H12" s="228" t="s">
        <v>9</v>
      </c>
      <c r="I12" s="234" t="s">
        <v>10</v>
      </c>
      <c r="J12" s="228" t="s">
        <v>11</v>
      </c>
      <c r="K12" s="228" t="s">
        <v>12</v>
      </c>
      <c r="L12" s="228" t="s">
        <v>13</v>
      </c>
      <c r="M12" s="228"/>
      <c r="N12" s="228" t="s">
        <v>14</v>
      </c>
      <c r="O12" s="228" t="s">
        <v>15</v>
      </c>
    </row>
    <row r="13" spans="1:15" ht="16.5">
      <c r="A13" s="228"/>
      <c r="B13" s="236"/>
      <c r="C13" s="228"/>
      <c r="D13" s="238"/>
      <c r="E13" s="228"/>
      <c r="F13" s="228"/>
      <c r="G13" s="228"/>
      <c r="H13" s="228"/>
      <c r="I13" s="234"/>
      <c r="J13" s="228"/>
      <c r="K13" s="228"/>
      <c r="L13" s="21" t="s">
        <v>16</v>
      </c>
      <c r="M13" s="21" t="s">
        <v>17</v>
      </c>
      <c r="N13" s="228"/>
      <c r="O13" s="228"/>
    </row>
    <row r="14" spans="1:15" ht="99">
      <c r="A14" s="22">
        <v>1</v>
      </c>
      <c r="B14" s="22">
        <v>1</v>
      </c>
      <c r="C14" s="23" t="s">
        <v>459</v>
      </c>
      <c r="D14" s="23"/>
      <c r="E14" s="23" t="s">
        <v>25</v>
      </c>
      <c r="F14" s="33" t="s">
        <v>261</v>
      </c>
      <c r="G14" s="13" t="s">
        <v>262</v>
      </c>
      <c r="H14" s="13"/>
      <c r="I14" s="23" t="s">
        <v>728</v>
      </c>
      <c r="J14" s="23" t="s">
        <v>470</v>
      </c>
      <c r="K14" s="23" t="s">
        <v>727</v>
      </c>
      <c r="L14" s="13" t="s">
        <v>260</v>
      </c>
      <c r="M14" s="13"/>
      <c r="N14" s="13"/>
      <c r="O14" s="13">
        <v>1</v>
      </c>
    </row>
    <row r="15" spans="1:15" ht="49.5">
      <c r="A15" s="22"/>
      <c r="B15" s="22">
        <f t="shared" ref="B15:B46" si="0">+B14+1</f>
        <v>2</v>
      </c>
      <c r="C15" s="23" t="s">
        <v>579</v>
      </c>
      <c r="D15" s="23"/>
      <c r="E15" s="23" t="s">
        <v>25</v>
      </c>
      <c r="F15" s="33"/>
      <c r="G15" s="13" t="s">
        <v>580</v>
      </c>
      <c r="H15" s="13" t="s">
        <v>488</v>
      </c>
      <c r="I15" s="23" t="s">
        <v>259</v>
      </c>
      <c r="J15" s="23" t="s">
        <v>78</v>
      </c>
      <c r="K15" s="23" t="s">
        <v>581</v>
      </c>
      <c r="L15" s="13">
        <v>842859306</v>
      </c>
      <c r="M15" s="13"/>
      <c r="N15" s="13">
        <v>2019</v>
      </c>
      <c r="O15" s="13">
        <v>1</v>
      </c>
    </row>
    <row r="16" spans="1:15" ht="33.75" thickBot="1">
      <c r="A16" s="22">
        <v>4</v>
      </c>
      <c r="B16" s="22">
        <f t="shared" si="0"/>
        <v>3</v>
      </c>
      <c r="C16" s="23" t="s">
        <v>20</v>
      </c>
      <c r="D16" s="23"/>
      <c r="E16" s="23"/>
      <c r="F16" s="33" t="s">
        <v>659</v>
      </c>
      <c r="G16" s="13" t="s">
        <v>582</v>
      </c>
      <c r="H16" s="13"/>
      <c r="I16" s="23" t="s">
        <v>660</v>
      </c>
      <c r="J16" s="23" t="s">
        <v>661</v>
      </c>
      <c r="K16" s="24" t="s">
        <v>583</v>
      </c>
      <c r="L16" s="24"/>
      <c r="M16" s="13"/>
      <c r="N16" s="13">
        <v>2020</v>
      </c>
      <c r="O16" s="25">
        <v>1</v>
      </c>
    </row>
    <row r="17" spans="1:15" ht="33">
      <c r="A17" s="22">
        <v>5</v>
      </c>
      <c r="B17" s="22">
        <f t="shared" si="0"/>
        <v>4</v>
      </c>
      <c r="C17" s="23" t="s">
        <v>23</v>
      </c>
      <c r="D17" s="23"/>
      <c r="E17" s="23" t="s">
        <v>675</v>
      </c>
      <c r="F17" s="33" t="s">
        <v>676</v>
      </c>
      <c r="G17" s="13" t="s">
        <v>677</v>
      </c>
      <c r="H17" s="13" t="s">
        <v>678</v>
      </c>
      <c r="I17" s="23" t="s">
        <v>679</v>
      </c>
      <c r="J17" s="13" t="s">
        <v>680</v>
      </c>
      <c r="K17" s="13" t="s">
        <v>681</v>
      </c>
      <c r="L17" s="13" t="s">
        <v>682</v>
      </c>
      <c r="M17" s="13" t="s">
        <v>524</v>
      </c>
      <c r="N17" s="13">
        <v>2022</v>
      </c>
      <c r="O17" s="13">
        <v>1</v>
      </c>
    </row>
    <row r="18" spans="1:15" ht="16.5">
      <c r="A18" s="22">
        <v>6</v>
      </c>
      <c r="B18" s="22">
        <f t="shared" si="0"/>
        <v>5</v>
      </c>
      <c r="C18" s="23" t="s">
        <v>24</v>
      </c>
      <c r="D18" s="23"/>
      <c r="E18" s="23"/>
      <c r="F18" s="33"/>
      <c r="G18" s="13"/>
      <c r="H18" s="13"/>
      <c r="I18" s="23" t="s">
        <v>22</v>
      </c>
      <c r="J18" s="23" t="s">
        <v>25</v>
      </c>
      <c r="K18" s="23"/>
      <c r="L18" s="13"/>
      <c r="M18" s="13"/>
      <c r="N18" s="13"/>
      <c r="O18" s="13">
        <v>1</v>
      </c>
    </row>
    <row r="19" spans="1:15" ht="51.75" customHeight="1">
      <c r="A19" s="22">
        <v>7</v>
      </c>
      <c r="B19" s="22">
        <f t="shared" si="0"/>
        <v>6</v>
      </c>
      <c r="C19" s="23" t="s">
        <v>26</v>
      </c>
      <c r="D19" s="142"/>
      <c r="E19" s="23"/>
      <c r="F19" s="33" t="s">
        <v>454</v>
      </c>
      <c r="G19" s="13" t="s">
        <v>27</v>
      </c>
      <c r="H19" s="13"/>
      <c r="I19" s="23" t="s">
        <v>28</v>
      </c>
      <c r="J19" s="23" t="s">
        <v>455</v>
      </c>
      <c r="K19" s="23" t="s">
        <v>264</v>
      </c>
      <c r="L19" s="13" t="s">
        <v>265</v>
      </c>
      <c r="M19" s="13" t="s">
        <v>266</v>
      </c>
      <c r="N19" s="13"/>
      <c r="O19" s="26">
        <v>1</v>
      </c>
    </row>
    <row r="20" spans="1:15" ht="97.5" customHeight="1">
      <c r="A20" s="22">
        <v>9</v>
      </c>
      <c r="B20" s="22">
        <f t="shared" si="0"/>
        <v>7</v>
      </c>
      <c r="C20" s="23" t="s">
        <v>31</v>
      </c>
      <c r="D20" s="23"/>
      <c r="E20" s="23"/>
      <c r="F20" s="33"/>
      <c r="G20" s="13"/>
      <c r="H20" s="13"/>
      <c r="I20" s="23" t="s">
        <v>595</v>
      </c>
      <c r="J20" s="23" t="s">
        <v>32</v>
      </c>
      <c r="K20" s="23"/>
      <c r="L20" s="13"/>
      <c r="M20" s="13"/>
      <c r="N20" s="13"/>
      <c r="O20" s="13">
        <v>1</v>
      </c>
    </row>
    <row r="21" spans="1:15" ht="54.75" customHeight="1">
      <c r="A21" s="22">
        <v>10</v>
      </c>
      <c r="B21" s="22">
        <f t="shared" si="0"/>
        <v>8</v>
      </c>
      <c r="C21" s="23" t="s">
        <v>41</v>
      </c>
      <c r="D21" s="142"/>
      <c r="E21" s="23" t="s">
        <v>649</v>
      </c>
      <c r="F21" s="33" t="s">
        <v>42</v>
      </c>
      <c r="G21" s="13" t="s">
        <v>43</v>
      </c>
      <c r="H21" s="13" t="s">
        <v>1148</v>
      </c>
      <c r="I21" s="23" t="s">
        <v>651</v>
      </c>
      <c r="J21" s="23" t="s">
        <v>652</v>
      </c>
      <c r="K21" s="23" t="s">
        <v>653</v>
      </c>
      <c r="L21" s="13" t="s">
        <v>44</v>
      </c>
      <c r="M21" s="19" t="s">
        <v>267</v>
      </c>
      <c r="N21" s="13">
        <v>2012</v>
      </c>
      <c r="O21" s="41">
        <v>1</v>
      </c>
    </row>
    <row r="22" spans="1:15" ht="66">
      <c r="A22" s="22">
        <v>11</v>
      </c>
      <c r="B22" s="22">
        <f t="shared" si="0"/>
        <v>9</v>
      </c>
      <c r="C22" s="23" t="s">
        <v>792</v>
      </c>
      <c r="D22" s="23"/>
      <c r="E22" s="23"/>
      <c r="F22" s="33" t="s">
        <v>45</v>
      </c>
      <c r="G22" s="13" t="s">
        <v>46</v>
      </c>
      <c r="H22" s="13"/>
      <c r="I22" s="23" t="s">
        <v>28</v>
      </c>
      <c r="J22" s="23" t="s">
        <v>47</v>
      </c>
      <c r="K22" s="23"/>
      <c r="L22" s="13"/>
      <c r="M22" s="13"/>
      <c r="N22" s="13"/>
      <c r="O22" s="13">
        <v>2</v>
      </c>
    </row>
    <row r="23" spans="1:15" ht="33">
      <c r="A23" s="22">
        <v>12</v>
      </c>
      <c r="B23" s="22">
        <f t="shared" si="0"/>
        <v>10</v>
      </c>
      <c r="C23" s="23" t="s">
        <v>451</v>
      </c>
      <c r="D23" s="23"/>
      <c r="E23" s="23" t="s">
        <v>784</v>
      </c>
      <c r="F23" s="33" t="s">
        <v>785</v>
      </c>
      <c r="G23" s="13" t="s">
        <v>452</v>
      </c>
      <c r="H23" s="13" t="s">
        <v>786</v>
      </c>
      <c r="I23" s="23" t="s">
        <v>453</v>
      </c>
      <c r="J23" s="23" t="s">
        <v>19</v>
      </c>
      <c r="K23" s="23" t="s">
        <v>787</v>
      </c>
      <c r="L23" s="13" t="s">
        <v>783</v>
      </c>
      <c r="M23" s="13"/>
      <c r="N23" s="13">
        <v>2014</v>
      </c>
      <c r="O23" s="13">
        <v>2</v>
      </c>
    </row>
    <row r="24" spans="1:15" ht="16.5">
      <c r="A24" s="22">
        <v>13</v>
      </c>
      <c r="B24" s="22">
        <f t="shared" si="0"/>
        <v>11</v>
      </c>
      <c r="C24" s="23" t="s">
        <v>269</v>
      </c>
      <c r="D24" s="23"/>
      <c r="E24" s="23"/>
      <c r="F24" s="33" t="s">
        <v>272</v>
      </c>
      <c r="G24" s="13" t="s">
        <v>273</v>
      </c>
      <c r="H24" s="13" t="s">
        <v>967</v>
      </c>
      <c r="I24" s="23" t="s">
        <v>259</v>
      </c>
      <c r="J24" s="23" t="s">
        <v>25</v>
      </c>
      <c r="K24" s="23" t="s">
        <v>270</v>
      </c>
      <c r="L24" s="13">
        <v>840249787</v>
      </c>
      <c r="M24" s="13" t="s">
        <v>271</v>
      </c>
      <c r="N24" s="13"/>
      <c r="O24" s="13">
        <v>2</v>
      </c>
    </row>
    <row r="25" spans="1:15" ht="33">
      <c r="A25" s="22">
        <v>15</v>
      </c>
      <c r="B25" s="22">
        <f t="shared" si="0"/>
        <v>12</v>
      </c>
      <c r="C25" s="23" t="s">
        <v>966</v>
      </c>
      <c r="D25" s="146"/>
      <c r="E25" s="23"/>
      <c r="F25" s="33" t="s">
        <v>967</v>
      </c>
      <c r="G25" s="13" t="s">
        <v>968</v>
      </c>
      <c r="H25" s="13"/>
      <c r="I25" s="23" t="s">
        <v>969</v>
      </c>
      <c r="J25" s="23" t="s">
        <v>970</v>
      </c>
      <c r="K25" s="23" t="s">
        <v>971</v>
      </c>
      <c r="L25" s="13" t="s">
        <v>972</v>
      </c>
      <c r="M25" s="13" t="s">
        <v>973</v>
      </c>
      <c r="N25" s="13"/>
      <c r="O25" s="13">
        <v>3</v>
      </c>
    </row>
    <row r="26" spans="1:15" ht="82.5">
      <c r="A26" s="22">
        <v>17</v>
      </c>
      <c r="B26" s="22">
        <f t="shared" si="0"/>
        <v>13</v>
      </c>
      <c r="C26" s="23" t="s">
        <v>33</v>
      </c>
      <c r="D26" s="23"/>
      <c r="E26" s="23" t="s">
        <v>34</v>
      </c>
      <c r="F26" s="33" t="s">
        <v>35</v>
      </c>
      <c r="G26" s="13" t="s">
        <v>36</v>
      </c>
      <c r="H26" s="13"/>
      <c r="I26" s="23" t="s">
        <v>37</v>
      </c>
      <c r="J26" s="23" t="s">
        <v>38</v>
      </c>
      <c r="K26" s="23" t="s">
        <v>39</v>
      </c>
      <c r="L26" s="13">
        <v>876894769</v>
      </c>
      <c r="M26" s="13" t="s">
        <v>40</v>
      </c>
      <c r="N26" s="13"/>
      <c r="O26" s="13">
        <v>3</v>
      </c>
    </row>
    <row r="27" spans="1:15" ht="82.5">
      <c r="A27" s="22">
        <v>19</v>
      </c>
      <c r="B27" s="22">
        <f t="shared" si="0"/>
        <v>14</v>
      </c>
      <c r="C27" s="23" t="s">
        <v>793</v>
      </c>
      <c r="D27" s="142"/>
      <c r="E27" s="23"/>
      <c r="F27" s="33" t="s">
        <v>48</v>
      </c>
      <c r="G27" s="13" t="s">
        <v>49</v>
      </c>
      <c r="H27" s="13"/>
      <c r="I27" s="23" t="s">
        <v>734</v>
      </c>
      <c r="J27" s="23" t="s">
        <v>19</v>
      </c>
      <c r="K27" s="23" t="s">
        <v>735</v>
      </c>
      <c r="L27" s="13" t="s">
        <v>736</v>
      </c>
      <c r="M27" s="14" t="s">
        <v>474</v>
      </c>
      <c r="N27" s="13">
        <v>2015</v>
      </c>
      <c r="O27" s="26">
        <v>4</v>
      </c>
    </row>
    <row r="28" spans="1:15" ht="66">
      <c r="A28" s="22">
        <v>20</v>
      </c>
      <c r="B28" s="22">
        <f t="shared" si="0"/>
        <v>15</v>
      </c>
      <c r="C28" s="23" t="s">
        <v>274</v>
      </c>
      <c r="D28" s="142"/>
      <c r="E28" s="23"/>
      <c r="F28" s="33" t="s">
        <v>35</v>
      </c>
      <c r="G28" s="13" t="s">
        <v>279</v>
      </c>
      <c r="H28" s="13"/>
      <c r="I28" s="23" t="s">
        <v>278</v>
      </c>
      <c r="J28" s="23" t="s">
        <v>280</v>
      </c>
      <c r="K28" s="23" t="s">
        <v>275</v>
      </c>
      <c r="L28" s="13" t="s">
        <v>276</v>
      </c>
      <c r="M28" s="13" t="s">
        <v>277</v>
      </c>
      <c r="N28" s="13"/>
      <c r="O28" s="40">
        <v>4</v>
      </c>
    </row>
    <row r="29" spans="1:15" ht="16.5">
      <c r="A29" s="22">
        <v>22</v>
      </c>
      <c r="B29" s="22">
        <f t="shared" si="0"/>
        <v>16</v>
      </c>
      <c r="C29" s="23" t="s">
        <v>50</v>
      </c>
      <c r="D29" s="23"/>
      <c r="E29" s="23"/>
      <c r="F29" s="33"/>
      <c r="G29" s="13"/>
      <c r="H29" s="13"/>
      <c r="I29" s="23" t="s">
        <v>28</v>
      </c>
      <c r="J29" s="23" t="s">
        <v>51</v>
      </c>
      <c r="K29" s="23"/>
      <c r="L29" s="13"/>
      <c r="M29" s="13"/>
      <c r="N29" s="13"/>
      <c r="O29" s="13">
        <v>4</v>
      </c>
    </row>
    <row r="30" spans="1:15" ht="49.5">
      <c r="A30" s="22">
        <v>23</v>
      </c>
      <c r="B30" s="22">
        <f t="shared" si="0"/>
        <v>17</v>
      </c>
      <c r="C30" s="23" t="s">
        <v>281</v>
      </c>
      <c r="D30" s="142"/>
      <c r="E30" s="23" t="s">
        <v>658</v>
      </c>
      <c r="F30" s="33" t="s">
        <v>63</v>
      </c>
      <c r="G30" s="13" t="s">
        <v>782</v>
      </c>
      <c r="H30" s="13" t="s">
        <v>488</v>
      </c>
      <c r="I30" s="23" t="s">
        <v>781</v>
      </c>
      <c r="J30" s="23" t="s">
        <v>1067</v>
      </c>
      <c r="K30" s="23" t="s">
        <v>282</v>
      </c>
      <c r="L30" s="13" t="s">
        <v>984</v>
      </c>
      <c r="M30" s="13" t="s">
        <v>283</v>
      </c>
      <c r="N30" s="13">
        <v>2002</v>
      </c>
      <c r="O30" s="32">
        <v>5</v>
      </c>
    </row>
    <row r="31" spans="1:15" ht="33">
      <c r="A31" s="22">
        <v>25</v>
      </c>
      <c r="B31" s="22">
        <f t="shared" si="0"/>
        <v>18</v>
      </c>
      <c r="C31" s="23" t="s">
        <v>285</v>
      </c>
      <c r="D31" s="23"/>
      <c r="E31" s="23"/>
      <c r="F31" s="33"/>
      <c r="G31" s="13"/>
      <c r="H31" s="13"/>
      <c r="I31" s="23"/>
      <c r="J31" s="23" t="s">
        <v>286</v>
      </c>
      <c r="K31" s="23"/>
      <c r="L31" s="13"/>
      <c r="M31" s="13"/>
      <c r="N31" s="13"/>
      <c r="O31" s="13">
        <v>5</v>
      </c>
    </row>
    <row r="32" spans="1:15" ht="18">
      <c r="A32" s="22">
        <v>26</v>
      </c>
      <c r="B32" s="22">
        <f t="shared" si="0"/>
        <v>19</v>
      </c>
      <c r="C32" s="23" t="s">
        <v>53</v>
      </c>
      <c r="D32" s="23"/>
      <c r="E32" s="23"/>
      <c r="F32" s="33"/>
      <c r="G32" s="13"/>
      <c r="H32" s="13"/>
      <c r="I32" s="23" t="s">
        <v>54</v>
      </c>
      <c r="J32" s="23" t="s">
        <v>55</v>
      </c>
      <c r="K32" s="23"/>
      <c r="L32" s="13"/>
      <c r="M32" s="13"/>
      <c r="N32" s="13"/>
      <c r="O32" s="25">
        <v>7</v>
      </c>
    </row>
    <row r="33" spans="1:15" s="9" customFormat="1" ht="66">
      <c r="A33" s="22">
        <v>27</v>
      </c>
      <c r="B33" s="22">
        <f t="shared" si="0"/>
        <v>20</v>
      </c>
      <c r="C33" s="23" t="s">
        <v>56</v>
      </c>
      <c r="D33" s="23"/>
      <c r="E33" s="23" t="s">
        <v>523</v>
      </c>
      <c r="F33" s="33" t="s">
        <v>559</v>
      </c>
      <c r="G33" s="13" t="s">
        <v>560</v>
      </c>
      <c r="H33" s="13" t="s">
        <v>561</v>
      </c>
      <c r="I33" s="23" t="s">
        <v>562</v>
      </c>
      <c r="J33" s="13" t="s">
        <v>498</v>
      </c>
      <c r="K33" s="13" t="s">
        <v>563</v>
      </c>
      <c r="L33" s="13" t="s">
        <v>564</v>
      </c>
      <c r="M33" s="13" t="s">
        <v>565</v>
      </c>
      <c r="N33" s="13">
        <v>2010</v>
      </c>
      <c r="O33" s="30">
        <v>9</v>
      </c>
    </row>
    <row r="34" spans="1:15" ht="49.5">
      <c r="A34" s="22">
        <v>29</v>
      </c>
      <c r="B34" s="22">
        <f t="shared" si="0"/>
        <v>21</v>
      </c>
      <c r="C34" s="23" t="s">
        <v>57</v>
      </c>
      <c r="D34" s="23"/>
      <c r="E34" s="29" t="s">
        <v>487</v>
      </c>
      <c r="F34" s="33" t="s">
        <v>35</v>
      </c>
      <c r="G34" s="28" t="s">
        <v>533</v>
      </c>
      <c r="H34" s="13" t="s">
        <v>567</v>
      </c>
      <c r="I34" s="23" t="s">
        <v>259</v>
      </c>
      <c r="J34" s="13" t="s">
        <v>534</v>
      </c>
      <c r="K34" s="13" t="s">
        <v>568</v>
      </c>
      <c r="L34" s="13" t="s">
        <v>569</v>
      </c>
      <c r="M34" s="13" t="s">
        <v>535</v>
      </c>
      <c r="N34" s="13">
        <v>2019</v>
      </c>
      <c r="O34" s="13">
        <v>14</v>
      </c>
    </row>
    <row r="35" spans="1:15" ht="96.75" customHeight="1">
      <c r="A35" s="22">
        <v>31</v>
      </c>
      <c r="B35" s="22">
        <f t="shared" si="0"/>
        <v>22</v>
      </c>
      <c r="C35" s="23" t="s">
        <v>462</v>
      </c>
      <c r="D35" s="23"/>
      <c r="E35" s="23"/>
      <c r="F35" s="33" t="s">
        <v>302</v>
      </c>
      <c r="G35" s="13" t="s">
        <v>304</v>
      </c>
      <c r="H35" s="13"/>
      <c r="I35" s="23" t="s">
        <v>303</v>
      </c>
      <c r="J35" s="23" t="s">
        <v>305</v>
      </c>
      <c r="K35" s="23" t="s">
        <v>300</v>
      </c>
      <c r="L35" s="13">
        <v>827231511</v>
      </c>
      <c r="M35" s="13"/>
      <c r="N35" s="13"/>
      <c r="O35" s="26">
        <v>15</v>
      </c>
    </row>
    <row r="36" spans="1:15" ht="99.75" customHeight="1">
      <c r="A36" s="22">
        <v>32</v>
      </c>
      <c r="B36" s="22">
        <f t="shared" si="0"/>
        <v>23</v>
      </c>
      <c r="C36" s="23" t="s">
        <v>59</v>
      </c>
      <c r="D36" s="142"/>
      <c r="E36" s="23"/>
      <c r="F36" s="33" t="s">
        <v>63</v>
      </c>
      <c r="G36" s="13" t="s">
        <v>473</v>
      </c>
      <c r="H36" s="13"/>
      <c r="I36" s="23" t="s">
        <v>768</v>
      </c>
      <c r="J36" s="23" t="s">
        <v>763</v>
      </c>
      <c r="K36" s="23" t="s">
        <v>61</v>
      </c>
      <c r="L36" s="13" t="s">
        <v>769</v>
      </c>
      <c r="M36" s="13" t="s">
        <v>62</v>
      </c>
      <c r="N36" s="13"/>
      <c r="O36" s="41">
        <v>15</v>
      </c>
    </row>
    <row r="37" spans="1:15" ht="52.5" customHeight="1">
      <c r="A37" s="22">
        <v>33</v>
      </c>
      <c r="B37" s="22">
        <f t="shared" si="0"/>
        <v>24</v>
      </c>
      <c r="C37" s="23" t="s">
        <v>290</v>
      </c>
      <c r="D37" s="23"/>
      <c r="E37" s="23"/>
      <c r="F37" s="33" t="s">
        <v>272</v>
      </c>
      <c r="G37" s="13" t="s">
        <v>294</v>
      </c>
      <c r="H37" s="13"/>
      <c r="I37" s="23" t="s">
        <v>293</v>
      </c>
      <c r="J37" s="23" t="s">
        <v>295</v>
      </c>
      <c r="K37" s="23" t="s">
        <v>291</v>
      </c>
      <c r="L37" s="13">
        <v>829128568</v>
      </c>
      <c r="M37" s="13" t="s">
        <v>292</v>
      </c>
      <c r="N37" s="13"/>
      <c r="O37" s="13">
        <v>15</v>
      </c>
    </row>
    <row r="38" spans="1:15" ht="66">
      <c r="A38" s="22">
        <v>35</v>
      </c>
      <c r="B38" s="22">
        <f t="shared" si="0"/>
        <v>25</v>
      </c>
      <c r="C38" s="23" t="s">
        <v>64</v>
      </c>
      <c r="D38" s="23"/>
      <c r="E38" s="23"/>
      <c r="F38" s="33" t="s">
        <v>742</v>
      </c>
      <c r="G38" s="13" t="s">
        <v>60</v>
      </c>
      <c r="H38" s="13"/>
      <c r="I38" s="23" t="s">
        <v>37</v>
      </c>
      <c r="J38" s="23" t="s">
        <v>65</v>
      </c>
      <c r="K38" s="23" t="s">
        <v>66</v>
      </c>
      <c r="L38" s="13">
        <v>823075401</v>
      </c>
      <c r="M38" s="13" t="s">
        <v>297</v>
      </c>
      <c r="N38" s="13"/>
      <c r="O38" s="13">
        <v>16</v>
      </c>
    </row>
    <row r="39" spans="1:15" ht="33">
      <c r="A39" s="22">
        <v>36</v>
      </c>
      <c r="B39" s="22">
        <f t="shared" si="0"/>
        <v>26</v>
      </c>
      <c r="C39" s="23" t="s">
        <v>461</v>
      </c>
      <c r="D39" s="23"/>
      <c r="E39" s="23"/>
      <c r="F39" s="33" t="s">
        <v>298</v>
      </c>
      <c r="G39" s="13" t="s">
        <v>299</v>
      </c>
      <c r="H39" s="13"/>
      <c r="I39" s="23" t="s">
        <v>37</v>
      </c>
      <c r="J39" s="23" t="s">
        <v>25</v>
      </c>
      <c r="K39" s="23" t="s">
        <v>296</v>
      </c>
      <c r="L39" s="13" t="s">
        <v>756</v>
      </c>
      <c r="M39" s="13"/>
      <c r="N39" s="13"/>
      <c r="O39" s="28">
        <v>17</v>
      </c>
    </row>
    <row r="40" spans="1:15" ht="65.25" customHeight="1">
      <c r="A40" s="22">
        <v>37</v>
      </c>
      <c r="B40" s="22">
        <f t="shared" si="0"/>
        <v>27</v>
      </c>
      <c r="C40" s="23" t="s">
        <v>67</v>
      </c>
      <c r="D40" s="23"/>
      <c r="E40" s="23"/>
      <c r="F40" s="33" t="s">
        <v>35</v>
      </c>
      <c r="G40" s="13" t="s">
        <v>68</v>
      </c>
      <c r="H40" s="13"/>
      <c r="I40" s="23" t="s">
        <v>69</v>
      </c>
      <c r="J40" s="23" t="s">
        <v>429</v>
      </c>
      <c r="K40" s="23" t="s">
        <v>58</v>
      </c>
      <c r="L40" s="13" t="s">
        <v>70</v>
      </c>
      <c r="M40" s="15" t="s">
        <v>301</v>
      </c>
      <c r="N40" s="13"/>
      <c r="O40" s="26">
        <v>17</v>
      </c>
    </row>
    <row r="41" spans="1:15" ht="33">
      <c r="A41" s="22">
        <v>38</v>
      </c>
      <c r="B41" s="22">
        <f t="shared" si="0"/>
        <v>28</v>
      </c>
      <c r="C41" s="23" t="s">
        <v>463</v>
      </c>
      <c r="D41" s="23"/>
      <c r="E41" s="23"/>
      <c r="F41" s="33"/>
      <c r="G41" s="13" t="s">
        <v>307</v>
      </c>
      <c r="H41" s="13"/>
      <c r="I41" s="23" t="s">
        <v>28</v>
      </c>
      <c r="J41" s="23"/>
      <c r="K41" s="23" t="s">
        <v>306</v>
      </c>
      <c r="L41" s="13"/>
      <c r="M41" s="13"/>
      <c r="N41" s="13"/>
      <c r="O41" s="13">
        <v>24</v>
      </c>
    </row>
    <row r="42" spans="1:15" ht="82.5">
      <c r="A42" s="22">
        <v>39</v>
      </c>
      <c r="B42" s="22">
        <f t="shared" si="0"/>
        <v>29</v>
      </c>
      <c r="C42" s="23" t="s">
        <v>71</v>
      </c>
      <c r="D42" s="23"/>
      <c r="E42" s="26" t="s">
        <v>576</v>
      </c>
      <c r="F42" s="33" t="s">
        <v>73</v>
      </c>
      <c r="G42" s="13" t="s">
        <v>72</v>
      </c>
      <c r="H42" s="23" t="s">
        <v>73</v>
      </c>
      <c r="I42" s="23" t="s">
        <v>714</v>
      </c>
      <c r="J42" s="23" t="s">
        <v>618</v>
      </c>
      <c r="K42" s="26" t="s">
        <v>499</v>
      </c>
      <c r="L42" s="30">
        <v>870800282</v>
      </c>
      <c r="M42" s="16" t="s">
        <v>500</v>
      </c>
      <c r="N42" s="30">
        <v>2015</v>
      </c>
      <c r="O42" s="13">
        <v>27</v>
      </c>
    </row>
    <row r="43" spans="1:15" ht="49.5">
      <c r="A43" s="22">
        <v>40</v>
      </c>
      <c r="B43" s="22">
        <f t="shared" si="0"/>
        <v>30</v>
      </c>
      <c r="C43" s="23" t="s">
        <v>460</v>
      </c>
      <c r="D43" s="23"/>
      <c r="E43" s="23" t="s">
        <v>528</v>
      </c>
      <c r="F43" s="33" t="s">
        <v>272</v>
      </c>
      <c r="G43" s="13" t="s">
        <v>614</v>
      </c>
      <c r="H43" s="23" t="s">
        <v>525</v>
      </c>
      <c r="I43" s="23" t="s">
        <v>288</v>
      </c>
      <c r="J43" s="23" t="s">
        <v>613</v>
      </c>
      <c r="K43" s="23" t="s">
        <v>526</v>
      </c>
      <c r="L43" s="13" t="s">
        <v>287</v>
      </c>
      <c r="M43" s="16" t="s">
        <v>527</v>
      </c>
      <c r="N43" s="25">
        <v>2020</v>
      </c>
      <c r="O43" s="13">
        <v>32</v>
      </c>
    </row>
    <row r="44" spans="1:15" ht="16.5">
      <c r="A44" s="22">
        <v>42</v>
      </c>
      <c r="B44" s="22">
        <f t="shared" si="0"/>
        <v>31</v>
      </c>
      <c r="C44" s="23" t="s">
        <v>74</v>
      </c>
      <c r="D44" s="23"/>
      <c r="E44" s="23"/>
      <c r="F44" s="33"/>
      <c r="G44" s="13"/>
      <c r="H44" s="13"/>
      <c r="I44" s="23" t="s">
        <v>75</v>
      </c>
      <c r="J44" s="23" t="s">
        <v>76</v>
      </c>
      <c r="K44" s="23"/>
      <c r="L44" s="13"/>
      <c r="M44" s="16"/>
      <c r="N44" s="13"/>
      <c r="O44" s="13">
        <v>36</v>
      </c>
    </row>
    <row r="45" spans="1:15" ht="69" customHeight="1">
      <c r="A45" s="22">
        <v>43</v>
      </c>
      <c r="B45" s="22">
        <f t="shared" si="0"/>
        <v>32</v>
      </c>
      <c r="C45" s="23" t="s">
        <v>79</v>
      </c>
      <c r="D45" s="23"/>
      <c r="E45" s="26"/>
      <c r="F45" s="26"/>
      <c r="G45" s="31"/>
      <c r="H45" s="13"/>
      <c r="I45" s="23"/>
      <c r="J45" s="23"/>
      <c r="K45" s="23"/>
      <c r="L45" s="22"/>
      <c r="M45" s="16"/>
      <c r="N45" s="26"/>
      <c r="O45" s="13">
        <v>37</v>
      </c>
    </row>
    <row r="46" spans="1:15" ht="66">
      <c r="A46" s="22">
        <v>44</v>
      </c>
      <c r="B46" s="22">
        <f t="shared" si="0"/>
        <v>33</v>
      </c>
      <c r="C46" s="23" t="s">
        <v>80</v>
      </c>
      <c r="D46" s="142"/>
      <c r="E46" s="32" t="s">
        <v>753</v>
      </c>
      <c r="F46" s="33" t="s">
        <v>35</v>
      </c>
      <c r="G46" s="13" t="s">
        <v>81</v>
      </c>
      <c r="H46" s="13" t="s">
        <v>82</v>
      </c>
      <c r="I46" s="23" t="s">
        <v>494</v>
      </c>
      <c r="J46" s="23" t="s">
        <v>495</v>
      </c>
      <c r="K46" s="23" t="s">
        <v>419</v>
      </c>
      <c r="L46" s="31" t="s">
        <v>496</v>
      </c>
      <c r="M46" s="16" t="s">
        <v>497</v>
      </c>
      <c r="N46" s="33">
        <v>2001</v>
      </c>
      <c r="O46" s="13">
        <v>37</v>
      </c>
    </row>
    <row r="47" spans="1:15" ht="38.25" customHeight="1">
      <c r="A47" s="22">
        <v>46</v>
      </c>
      <c r="B47" s="22">
        <f t="shared" ref="B47:B110" si="1">+B46+1</f>
        <v>34</v>
      </c>
      <c r="C47" s="168" t="s">
        <v>536</v>
      </c>
      <c r="D47" s="168"/>
      <c r="E47" s="23"/>
      <c r="F47" s="33" t="s">
        <v>42</v>
      </c>
      <c r="G47" s="13" t="s">
        <v>537</v>
      </c>
      <c r="H47" s="13" t="s">
        <v>538</v>
      </c>
      <c r="I47" s="23" t="s">
        <v>539</v>
      </c>
      <c r="J47" s="13" t="s">
        <v>796</v>
      </c>
      <c r="K47" s="13" t="s">
        <v>540</v>
      </c>
      <c r="L47" s="13" t="s">
        <v>541</v>
      </c>
      <c r="M47" s="13" t="s">
        <v>542</v>
      </c>
      <c r="N47" s="25">
        <v>2021</v>
      </c>
      <c r="O47" s="33">
        <v>62</v>
      </c>
    </row>
    <row r="48" spans="1:15" ht="49.5">
      <c r="A48" s="22">
        <v>47</v>
      </c>
      <c r="B48" s="22">
        <f t="shared" si="1"/>
        <v>35</v>
      </c>
      <c r="C48" s="50" t="s">
        <v>83</v>
      </c>
      <c r="D48" s="50"/>
      <c r="E48" s="23" t="s">
        <v>523</v>
      </c>
      <c r="F48" s="117" t="s">
        <v>710</v>
      </c>
      <c r="G48" s="13" t="s">
        <v>512</v>
      </c>
      <c r="H48" s="13" t="s">
        <v>511</v>
      </c>
      <c r="I48" s="23" t="s">
        <v>709</v>
      </c>
      <c r="J48" s="13" t="s">
        <v>711</v>
      </c>
      <c r="K48" s="13" t="s">
        <v>513</v>
      </c>
      <c r="L48" s="13">
        <v>845864080</v>
      </c>
      <c r="M48" s="27" t="s">
        <v>514</v>
      </c>
      <c r="N48" s="26">
        <v>2001</v>
      </c>
      <c r="O48" s="13">
        <v>95</v>
      </c>
    </row>
    <row r="49" spans="1:20" ht="33">
      <c r="A49" s="22"/>
      <c r="B49" s="22">
        <f t="shared" si="1"/>
        <v>36</v>
      </c>
      <c r="C49" s="23" t="s">
        <v>743</v>
      </c>
      <c r="D49" s="142"/>
      <c r="E49" s="26" t="s">
        <v>25</v>
      </c>
      <c r="F49" s="26" t="s">
        <v>744</v>
      </c>
      <c r="G49" s="13" t="s">
        <v>746</v>
      </c>
      <c r="H49" s="13"/>
      <c r="I49" s="23" t="s">
        <v>747</v>
      </c>
      <c r="J49" s="23" t="s">
        <v>52</v>
      </c>
      <c r="K49" s="23" t="s">
        <v>421</v>
      </c>
      <c r="L49" s="22" t="s">
        <v>745</v>
      </c>
      <c r="M49" s="16"/>
      <c r="N49" s="26">
        <v>1978</v>
      </c>
      <c r="O49" s="13">
        <v>600</v>
      </c>
    </row>
    <row r="50" spans="1:20" ht="82.5">
      <c r="A50" s="22">
        <v>48</v>
      </c>
      <c r="B50" s="22">
        <f t="shared" si="1"/>
        <v>37</v>
      </c>
      <c r="C50" s="50" t="s">
        <v>464</v>
      </c>
      <c r="D50" s="50"/>
      <c r="E50" s="23"/>
      <c r="F50" s="117" t="s">
        <v>272</v>
      </c>
      <c r="G50" s="13" t="s">
        <v>983</v>
      </c>
      <c r="H50" s="13"/>
      <c r="I50" s="23" t="s">
        <v>982</v>
      </c>
      <c r="J50" s="23" t="s">
        <v>78</v>
      </c>
      <c r="K50" s="23" t="s">
        <v>85</v>
      </c>
      <c r="L50" s="13" t="s">
        <v>308</v>
      </c>
      <c r="M50" s="13" t="s">
        <v>86</v>
      </c>
      <c r="N50" s="13"/>
      <c r="O50" s="13"/>
    </row>
    <row r="51" spans="1:20" ht="33">
      <c r="A51" s="22">
        <v>49</v>
      </c>
      <c r="B51" s="22">
        <f t="shared" si="1"/>
        <v>38</v>
      </c>
      <c r="C51" s="50" t="s">
        <v>87</v>
      </c>
      <c r="D51" s="50"/>
      <c r="E51" s="23"/>
      <c r="F51" s="117" t="s">
        <v>88</v>
      </c>
      <c r="G51" s="13" t="s">
        <v>89</v>
      </c>
      <c r="H51" s="13"/>
      <c r="I51" s="23" t="s">
        <v>37</v>
      </c>
      <c r="J51" s="23" t="s">
        <v>25</v>
      </c>
      <c r="K51" s="23" t="s">
        <v>422</v>
      </c>
      <c r="L51" s="13" t="s">
        <v>423</v>
      </c>
      <c r="M51" s="13" t="s">
        <v>309</v>
      </c>
      <c r="N51" s="13">
        <v>2010</v>
      </c>
      <c r="O51" s="13"/>
    </row>
    <row r="52" spans="1:20" ht="33">
      <c r="A52" s="22">
        <v>50</v>
      </c>
      <c r="B52" s="22">
        <f t="shared" si="1"/>
        <v>39</v>
      </c>
      <c r="C52" s="50" t="s">
        <v>465</v>
      </c>
      <c r="D52" s="50"/>
      <c r="E52" s="23" t="s">
        <v>624</v>
      </c>
      <c r="F52" s="117" t="s">
        <v>683</v>
      </c>
      <c r="G52" s="169" t="s">
        <v>684</v>
      </c>
      <c r="H52" s="13" t="s">
        <v>685</v>
      </c>
      <c r="I52" s="23" t="s">
        <v>686</v>
      </c>
      <c r="J52" s="23" t="s">
        <v>687</v>
      </c>
      <c r="K52" s="23" t="s">
        <v>688</v>
      </c>
      <c r="L52" s="13" t="s">
        <v>689</v>
      </c>
      <c r="M52" s="13"/>
      <c r="N52" s="13">
        <v>2021</v>
      </c>
      <c r="O52" s="13"/>
    </row>
    <row r="53" spans="1:20" ht="33">
      <c r="A53" s="22">
        <v>51</v>
      </c>
      <c r="B53" s="22">
        <f t="shared" si="1"/>
        <v>40</v>
      </c>
      <c r="C53" s="50" t="s">
        <v>310</v>
      </c>
      <c r="D53" s="50"/>
      <c r="E53" s="23"/>
      <c r="F53" s="117" t="s">
        <v>73</v>
      </c>
      <c r="G53" s="13" t="s">
        <v>311</v>
      </c>
      <c r="H53" s="13"/>
      <c r="I53" s="23" t="s">
        <v>28</v>
      </c>
      <c r="J53" s="23" t="s">
        <v>25</v>
      </c>
      <c r="K53" s="23"/>
      <c r="L53" s="13">
        <v>826091267</v>
      </c>
      <c r="M53" s="13"/>
      <c r="N53" s="13"/>
      <c r="O53" s="13"/>
    </row>
    <row r="54" spans="1:20" ht="82.5">
      <c r="A54" s="22">
        <v>52</v>
      </c>
      <c r="B54" s="22">
        <f t="shared" si="1"/>
        <v>41</v>
      </c>
      <c r="C54" s="50" t="s">
        <v>312</v>
      </c>
      <c r="D54" s="50"/>
      <c r="E54" s="23"/>
      <c r="F54" s="117" t="s">
        <v>316</v>
      </c>
      <c r="G54" s="13" t="s">
        <v>318</v>
      </c>
      <c r="H54" s="13"/>
      <c r="I54" s="23" t="s">
        <v>317</v>
      </c>
      <c r="J54" s="23" t="s">
        <v>319</v>
      </c>
      <c r="K54" s="23" t="s">
        <v>313</v>
      </c>
      <c r="L54" s="13" t="s">
        <v>314</v>
      </c>
      <c r="M54" s="13" t="s">
        <v>315</v>
      </c>
      <c r="N54" s="13"/>
      <c r="O54" s="13"/>
    </row>
    <row r="55" spans="1:20" ht="16.5">
      <c r="A55" s="22">
        <v>53</v>
      </c>
      <c r="B55" s="22">
        <f t="shared" si="1"/>
        <v>42</v>
      </c>
      <c r="C55" s="50" t="s">
        <v>90</v>
      </c>
      <c r="D55" s="50"/>
      <c r="E55" s="23"/>
      <c r="F55" s="117"/>
      <c r="G55" s="13"/>
      <c r="H55" s="13"/>
      <c r="I55" s="23" t="s">
        <v>37</v>
      </c>
      <c r="J55" s="23" t="s">
        <v>19</v>
      </c>
      <c r="K55" s="23"/>
      <c r="L55" s="13"/>
      <c r="M55" s="13"/>
      <c r="N55" s="13"/>
      <c r="O55" s="13"/>
    </row>
    <row r="56" spans="1:20" ht="49.5">
      <c r="A56" s="22">
        <v>54</v>
      </c>
      <c r="B56" s="22">
        <f t="shared" si="1"/>
        <v>43</v>
      </c>
      <c r="C56" s="50" t="s">
        <v>320</v>
      </c>
      <c r="D56" s="50"/>
      <c r="E56" s="23"/>
      <c r="F56" s="117"/>
      <c r="G56" s="13" t="s">
        <v>321</v>
      </c>
      <c r="H56" s="13"/>
      <c r="I56" s="23" t="s">
        <v>767</v>
      </c>
      <c r="J56" s="23" t="s">
        <v>763</v>
      </c>
      <c r="K56" s="23"/>
      <c r="L56" s="13" t="s">
        <v>91</v>
      </c>
      <c r="M56" s="13"/>
      <c r="N56" s="13"/>
      <c r="O56" s="13"/>
    </row>
    <row r="57" spans="1:20" ht="70.5" customHeight="1">
      <c r="A57" s="22">
        <v>56</v>
      </c>
      <c r="B57" s="22">
        <f t="shared" si="1"/>
        <v>44</v>
      </c>
      <c r="C57" s="50" t="s">
        <v>92</v>
      </c>
      <c r="D57" s="143"/>
      <c r="E57" s="23"/>
      <c r="F57" s="117" t="s">
        <v>93</v>
      </c>
      <c r="G57" s="13" t="s">
        <v>94</v>
      </c>
      <c r="H57" s="13"/>
      <c r="I57" s="23" t="s">
        <v>37</v>
      </c>
      <c r="J57" s="23" t="s">
        <v>25</v>
      </c>
      <c r="K57" s="23"/>
      <c r="L57" s="13"/>
      <c r="M57" s="13"/>
      <c r="N57" s="13"/>
      <c r="O57" s="13"/>
    </row>
    <row r="58" spans="1:20" ht="33">
      <c r="A58" s="22">
        <v>57</v>
      </c>
      <c r="B58" s="22">
        <f t="shared" si="1"/>
        <v>45</v>
      </c>
      <c r="C58" s="50" t="s">
        <v>323</v>
      </c>
      <c r="D58" s="49"/>
      <c r="E58" s="115" t="s">
        <v>615</v>
      </c>
      <c r="F58" s="117" t="s">
        <v>272</v>
      </c>
      <c r="G58" s="13" t="s">
        <v>326</v>
      </c>
      <c r="H58" s="13" t="s">
        <v>1143</v>
      </c>
      <c r="I58" s="23" t="s">
        <v>752</v>
      </c>
      <c r="J58" s="23" t="s">
        <v>25</v>
      </c>
      <c r="K58" s="23" t="s">
        <v>58</v>
      </c>
      <c r="L58" s="13" t="s">
        <v>324</v>
      </c>
      <c r="M58" s="13" t="s">
        <v>325</v>
      </c>
      <c r="N58" s="13"/>
      <c r="O58" s="13"/>
    </row>
    <row r="59" spans="1:20" ht="66">
      <c r="A59" s="22">
        <v>58</v>
      </c>
      <c r="B59" s="22">
        <f t="shared" si="1"/>
        <v>46</v>
      </c>
      <c r="C59" s="50" t="s">
        <v>327</v>
      </c>
      <c r="D59" s="143"/>
      <c r="E59" s="23"/>
      <c r="F59" s="117" t="s">
        <v>73</v>
      </c>
      <c r="G59" s="13" t="s">
        <v>424</v>
      </c>
      <c r="H59" s="13"/>
      <c r="I59" s="23" t="s">
        <v>22</v>
      </c>
      <c r="J59" s="23" t="s">
        <v>322</v>
      </c>
      <c r="K59" s="23"/>
      <c r="L59" s="13" t="s">
        <v>980</v>
      </c>
      <c r="M59" s="13"/>
      <c r="N59" s="13"/>
      <c r="O59" s="13"/>
    </row>
    <row r="60" spans="1:20" ht="66">
      <c r="A60" s="22">
        <v>59</v>
      </c>
      <c r="B60" s="22">
        <f t="shared" si="1"/>
        <v>47</v>
      </c>
      <c r="C60" s="23" t="s">
        <v>95</v>
      </c>
      <c r="D60" s="23"/>
      <c r="E60" s="23" t="s">
        <v>25</v>
      </c>
      <c r="F60" s="33" t="s">
        <v>715</v>
      </c>
      <c r="G60" s="13" t="s">
        <v>547</v>
      </c>
      <c r="H60" s="13" t="s">
        <v>488</v>
      </c>
      <c r="I60" s="23" t="s">
        <v>37</v>
      </c>
      <c r="J60" s="13" t="s">
        <v>552</v>
      </c>
      <c r="K60" s="13" t="s">
        <v>553</v>
      </c>
      <c r="L60" s="13" t="s">
        <v>554</v>
      </c>
      <c r="M60" s="13" t="s">
        <v>702</v>
      </c>
      <c r="N60" s="13">
        <v>2008</v>
      </c>
      <c r="O60" s="13"/>
      <c r="P60" s="13"/>
      <c r="Q60" s="13"/>
      <c r="R60" s="13"/>
      <c r="S60" s="13"/>
      <c r="T60" s="13"/>
    </row>
    <row r="61" spans="1:20" ht="16.5">
      <c r="A61" s="22">
        <v>60</v>
      </c>
      <c r="B61" s="22">
        <f t="shared" si="1"/>
        <v>48</v>
      </c>
      <c r="C61" s="23" t="s">
        <v>627</v>
      </c>
      <c r="D61" s="23"/>
      <c r="E61" s="23" t="s">
        <v>284</v>
      </c>
      <c r="F61" s="33" t="s">
        <v>628</v>
      </c>
      <c r="G61" s="13"/>
      <c r="H61" s="13" t="s">
        <v>628</v>
      </c>
      <c r="I61" s="23" t="s">
        <v>28</v>
      </c>
      <c r="J61" s="13" t="s">
        <v>629</v>
      </c>
      <c r="K61" s="13" t="s">
        <v>630</v>
      </c>
      <c r="L61" s="13"/>
      <c r="M61" s="13"/>
      <c r="N61" s="13">
        <v>2018</v>
      </c>
      <c r="O61" s="13"/>
      <c r="P61" s="13"/>
      <c r="Q61" s="13"/>
      <c r="R61" s="13"/>
      <c r="S61" s="13"/>
      <c r="T61" s="13"/>
    </row>
    <row r="62" spans="1:20" ht="49.5">
      <c r="A62" s="22">
        <v>61</v>
      </c>
      <c r="B62" s="22">
        <f t="shared" si="1"/>
        <v>49</v>
      </c>
      <c r="C62" s="23" t="s">
        <v>96</v>
      </c>
      <c r="D62" s="110"/>
      <c r="E62" s="110"/>
      <c r="F62" s="33" t="s">
        <v>97</v>
      </c>
      <c r="G62" s="13" t="s">
        <v>98</v>
      </c>
      <c r="H62" s="13"/>
      <c r="I62" s="23" t="s">
        <v>99</v>
      </c>
      <c r="J62" s="23"/>
      <c r="K62" s="23"/>
      <c r="L62" s="13"/>
      <c r="M62" s="13"/>
      <c r="N62" s="13"/>
      <c r="O62" s="13"/>
    </row>
    <row r="63" spans="1:20" ht="87" customHeight="1">
      <c r="A63" s="22">
        <v>62</v>
      </c>
      <c r="B63" s="22">
        <f t="shared" si="1"/>
        <v>50</v>
      </c>
      <c r="C63" s="50" t="s">
        <v>100</v>
      </c>
      <c r="D63" s="143"/>
      <c r="E63" s="23"/>
      <c r="F63" s="117" t="s">
        <v>73</v>
      </c>
      <c r="G63" s="13" t="s">
        <v>101</v>
      </c>
      <c r="H63" s="13"/>
      <c r="I63" s="23" t="s">
        <v>102</v>
      </c>
      <c r="J63" s="23"/>
      <c r="K63" s="23" t="s">
        <v>103</v>
      </c>
      <c r="L63" s="13">
        <v>842415990</v>
      </c>
      <c r="M63" s="13"/>
      <c r="N63" s="13"/>
      <c r="O63" s="13"/>
    </row>
    <row r="64" spans="1:20" ht="49.5">
      <c r="A64" s="22">
        <v>64</v>
      </c>
      <c r="B64" s="22">
        <f t="shared" si="1"/>
        <v>51</v>
      </c>
      <c r="C64" s="23" t="s">
        <v>328</v>
      </c>
      <c r="D64" s="23"/>
      <c r="E64" s="23" t="s">
        <v>961</v>
      </c>
      <c r="F64" s="33" t="s">
        <v>329</v>
      </c>
      <c r="G64" s="13" t="s">
        <v>330</v>
      </c>
      <c r="H64" s="13"/>
      <c r="I64" s="23" t="s">
        <v>962</v>
      </c>
      <c r="J64" s="23" t="s">
        <v>52</v>
      </c>
      <c r="K64" s="23" t="s">
        <v>963</v>
      </c>
      <c r="L64" s="13">
        <v>858299500</v>
      </c>
      <c r="M64" s="120" t="s">
        <v>964</v>
      </c>
      <c r="N64" s="13" t="s">
        <v>965</v>
      </c>
      <c r="O64" s="13"/>
    </row>
    <row r="65" spans="1:15" ht="16.5">
      <c r="A65" s="22">
        <v>65</v>
      </c>
      <c r="B65" s="22">
        <f t="shared" si="1"/>
        <v>52</v>
      </c>
      <c r="C65" s="23" t="s">
        <v>106</v>
      </c>
      <c r="D65" s="23"/>
      <c r="E65" s="23"/>
      <c r="F65" s="33"/>
      <c r="G65" s="13"/>
      <c r="H65" s="13"/>
      <c r="I65" s="23" t="s">
        <v>37</v>
      </c>
      <c r="J65" s="23" t="s">
        <v>32</v>
      </c>
      <c r="K65" s="23"/>
      <c r="L65" s="13"/>
      <c r="M65" s="13"/>
      <c r="N65" s="13"/>
      <c r="O65" s="13"/>
    </row>
    <row r="66" spans="1:15" ht="33">
      <c r="A66" s="22">
        <v>67</v>
      </c>
      <c r="B66" s="22">
        <f t="shared" si="1"/>
        <v>53</v>
      </c>
      <c r="C66" s="23" t="s">
        <v>109</v>
      </c>
      <c r="D66" s="110"/>
      <c r="E66" s="110" t="s">
        <v>663</v>
      </c>
      <c r="F66" s="33" t="s">
        <v>110</v>
      </c>
      <c r="G66" s="13" t="s">
        <v>111</v>
      </c>
      <c r="H66" s="13"/>
      <c r="I66" s="23" t="s">
        <v>594</v>
      </c>
      <c r="J66" s="23" t="s">
        <v>25</v>
      </c>
      <c r="K66" s="23" t="s">
        <v>112</v>
      </c>
      <c r="L66" s="13" t="s">
        <v>333</v>
      </c>
      <c r="M66" s="13" t="s">
        <v>334</v>
      </c>
      <c r="N66" s="13"/>
      <c r="O66" s="13"/>
    </row>
    <row r="67" spans="1:15" ht="27.75" customHeight="1">
      <c r="A67" s="22">
        <v>69</v>
      </c>
      <c r="B67" s="22">
        <f t="shared" si="1"/>
        <v>54</v>
      </c>
      <c r="C67" s="50" t="s">
        <v>335</v>
      </c>
      <c r="D67" s="49"/>
      <c r="E67" s="115"/>
      <c r="F67" s="117"/>
      <c r="G67" s="13" t="s">
        <v>337</v>
      </c>
      <c r="H67" s="13"/>
      <c r="I67" s="23" t="s">
        <v>268</v>
      </c>
      <c r="J67" s="23" t="s">
        <v>284</v>
      </c>
      <c r="K67" s="23" t="s">
        <v>336</v>
      </c>
      <c r="L67" s="13">
        <v>823262700</v>
      </c>
      <c r="M67" s="13"/>
      <c r="N67" s="13"/>
      <c r="O67" s="13"/>
    </row>
    <row r="68" spans="1:15" ht="82.5">
      <c r="A68" s="22">
        <v>70</v>
      </c>
      <c r="B68" s="22">
        <f t="shared" si="1"/>
        <v>55</v>
      </c>
      <c r="C68" s="23" t="s">
        <v>113</v>
      </c>
      <c r="D68" s="23"/>
      <c r="E68" s="23" t="s">
        <v>543</v>
      </c>
      <c r="F68" s="33" t="s">
        <v>63</v>
      </c>
      <c r="G68" s="13" t="s">
        <v>555</v>
      </c>
      <c r="H68" s="13" t="s">
        <v>544</v>
      </c>
      <c r="I68" s="23" t="s">
        <v>619</v>
      </c>
      <c r="J68" s="23" t="s">
        <v>545</v>
      </c>
      <c r="K68" s="23" t="s">
        <v>556</v>
      </c>
      <c r="L68" s="13" t="s">
        <v>557</v>
      </c>
      <c r="M68" s="17" t="s">
        <v>558</v>
      </c>
      <c r="N68" s="26">
        <v>2001</v>
      </c>
      <c r="O68" s="13"/>
    </row>
    <row r="69" spans="1:15" ht="49.5" customHeight="1" thickBot="1">
      <c r="A69" s="22"/>
      <c r="B69" s="22">
        <f t="shared" si="1"/>
        <v>56</v>
      </c>
      <c r="C69" s="110" t="s">
        <v>338</v>
      </c>
      <c r="D69" s="110"/>
      <c r="E69" s="23" t="s">
        <v>518</v>
      </c>
      <c r="F69" s="33" t="s">
        <v>298</v>
      </c>
      <c r="G69" s="13" t="s">
        <v>340</v>
      </c>
      <c r="H69" s="13"/>
      <c r="I69" s="23" t="s">
        <v>519</v>
      </c>
      <c r="J69" s="23" t="s">
        <v>520</v>
      </c>
      <c r="K69" s="23" t="s">
        <v>521</v>
      </c>
      <c r="L69" s="13" t="s">
        <v>522</v>
      </c>
      <c r="M69" s="13" t="s">
        <v>339</v>
      </c>
      <c r="N69" s="13"/>
      <c r="O69" s="13"/>
    </row>
    <row r="70" spans="1:15" s="8" customFormat="1" ht="50.25" thickBot="1">
      <c r="A70" s="22">
        <v>72</v>
      </c>
      <c r="B70" s="22">
        <f t="shared" si="1"/>
        <v>57</v>
      </c>
      <c r="C70" s="23" t="s">
        <v>704</v>
      </c>
      <c r="D70" s="142"/>
      <c r="E70" s="23"/>
      <c r="F70" s="117" t="s">
        <v>63</v>
      </c>
      <c r="G70" s="131" t="s">
        <v>708</v>
      </c>
      <c r="H70" s="131" t="s">
        <v>706</v>
      </c>
      <c r="I70" s="23" t="s">
        <v>707</v>
      </c>
      <c r="J70" s="23" t="s">
        <v>705</v>
      </c>
      <c r="K70" s="23"/>
      <c r="L70" s="13"/>
      <c r="M70" s="13"/>
      <c r="N70" s="13">
        <v>2023</v>
      </c>
      <c r="O70" s="13"/>
    </row>
    <row r="71" spans="1:15" ht="82.5">
      <c r="A71" s="22">
        <v>73</v>
      </c>
      <c r="B71" s="22">
        <f t="shared" si="1"/>
        <v>58</v>
      </c>
      <c r="C71" s="167" t="s">
        <v>800</v>
      </c>
      <c r="D71" s="167"/>
      <c r="E71" s="42" t="s">
        <v>490</v>
      </c>
      <c r="F71" s="33" t="s">
        <v>122</v>
      </c>
      <c r="G71" s="13" t="s">
        <v>159</v>
      </c>
      <c r="H71" s="23" t="s">
        <v>1161</v>
      </c>
      <c r="I71" s="23" t="s">
        <v>799</v>
      </c>
      <c r="J71" s="23" t="s">
        <v>160</v>
      </c>
      <c r="K71" s="42" t="s">
        <v>492</v>
      </c>
      <c r="L71" s="32" t="s">
        <v>493</v>
      </c>
      <c r="M71" s="32" t="s">
        <v>493</v>
      </c>
      <c r="N71" s="32">
        <v>2020</v>
      </c>
      <c r="O71" s="26"/>
    </row>
    <row r="72" spans="1:15" ht="66">
      <c r="A72" s="22">
        <v>76</v>
      </c>
      <c r="B72" s="22">
        <f t="shared" si="1"/>
        <v>59</v>
      </c>
      <c r="C72" s="23" t="s">
        <v>341</v>
      </c>
      <c r="D72" s="142"/>
      <c r="E72" s="23" t="s">
        <v>644</v>
      </c>
      <c r="F72" s="33" t="s">
        <v>35</v>
      </c>
      <c r="G72" s="13" t="s">
        <v>443</v>
      </c>
      <c r="H72" s="13" t="s">
        <v>243</v>
      </c>
      <c r="I72" s="23" t="s">
        <v>645</v>
      </c>
      <c r="J72" s="23" t="s">
        <v>18</v>
      </c>
      <c r="K72" s="23" t="s">
        <v>646</v>
      </c>
      <c r="L72" s="13">
        <v>876570434</v>
      </c>
      <c r="M72" s="13"/>
      <c r="N72" s="13"/>
      <c r="O72" s="26"/>
    </row>
    <row r="73" spans="1:15" ht="66">
      <c r="A73" s="22">
        <v>78</v>
      </c>
      <c r="B73" s="22">
        <f t="shared" si="1"/>
        <v>60</v>
      </c>
      <c r="C73" s="23" t="s">
        <v>115</v>
      </c>
      <c r="D73" s="23"/>
      <c r="E73" s="23"/>
      <c r="F73" s="33" t="s">
        <v>116</v>
      </c>
      <c r="G73" s="13" t="s">
        <v>117</v>
      </c>
      <c r="H73" s="13"/>
      <c r="I73" s="23" t="s">
        <v>118</v>
      </c>
      <c r="J73" s="23" t="s">
        <v>295</v>
      </c>
      <c r="K73" s="23" t="s">
        <v>331</v>
      </c>
      <c r="L73" s="13"/>
      <c r="M73" s="13" t="s">
        <v>332</v>
      </c>
      <c r="N73" s="13"/>
      <c r="O73" s="13"/>
    </row>
    <row r="74" spans="1:15" ht="68.25" customHeight="1">
      <c r="A74" s="22">
        <v>80</v>
      </c>
      <c r="B74" s="22">
        <f t="shared" si="1"/>
        <v>61</v>
      </c>
      <c r="C74" s="23" t="s">
        <v>342</v>
      </c>
      <c r="D74" s="23"/>
      <c r="E74" s="23"/>
      <c r="F74" s="33" t="s">
        <v>178</v>
      </c>
      <c r="G74" s="13" t="s">
        <v>344</v>
      </c>
      <c r="H74" s="13"/>
      <c r="I74" s="23" t="s">
        <v>343</v>
      </c>
      <c r="J74" s="23" t="s">
        <v>289</v>
      </c>
      <c r="K74" s="23"/>
      <c r="L74" s="13"/>
      <c r="M74" s="13"/>
      <c r="N74" s="13"/>
      <c r="O74" s="13"/>
    </row>
    <row r="75" spans="1:15" ht="82.5">
      <c r="A75" s="22">
        <v>82</v>
      </c>
      <c r="B75" s="22">
        <f t="shared" si="1"/>
        <v>62</v>
      </c>
      <c r="C75" s="23" t="s">
        <v>119</v>
      </c>
      <c r="D75" s="23"/>
      <c r="E75" s="39" t="s">
        <v>484</v>
      </c>
      <c r="F75" s="33" t="s">
        <v>427</v>
      </c>
      <c r="G75" s="13" t="s">
        <v>120</v>
      </c>
      <c r="H75" s="13" t="s">
        <v>485</v>
      </c>
      <c r="I75" s="23" t="s">
        <v>121</v>
      </c>
      <c r="J75" s="23" t="s">
        <v>425</v>
      </c>
      <c r="K75" s="23" t="s">
        <v>426</v>
      </c>
      <c r="L75" s="13" t="s">
        <v>486</v>
      </c>
      <c r="M75" s="13" t="s">
        <v>418</v>
      </c>
      <c r="N75" s="40">
        <v>2022</v>
      </c>
      <c r="O75" s="13"/>
    </row>
    <row r="76" spans="1:15" ht="49.5">
      <c r="A76" s="22">
        <v>84</v>
      </c>
      <c r="B76" s="22">
        <f t="shared" si="1"/>
        <v>63</v>
      </c>
      <c r="C76" s="23" t="s">
        <v>788</v>
      </c>
      <c r="D76" s="23"/>
      <c r="E76" s="23"/>
      <c r="F76" s="33" t="s">
        <v>122</v>
      </c>
      <c r="G76" s="13" t="s">
        <v>123</v>
      </c>
      <c r="H76" s="13"/>
      <c r="I76" s="23" t="s">
        <v>124</v>
      </c>
      <c r="J76" s="23"/>
      <c r="K76" s="23"/>
      <c r="L76" s="13"/>
      <c r="M76" s="13"/>
      <c r="N76" s="13"/>
      <c r="O76" s="13"/>
    </row>
    <row r="77" spans="1:15" ht="16.5">
      <c r="A77" s="22">
        <v>85</v>
      </c>
      <c r="B77" s="22">
        <f t="shared" si="1"/>
        <v>64</v>
      </c>
      <c r="C77" s="23" t="s">
        <v>126</v>
      </c>
      <c r="D77" s="23"/>
      <c r="E77" s="23"/>
      <c r="F77" s="33"/>
      <c r="G77" s="13"/>
      <c r="H77" s="13"/>
      <c r="I77" s="23"/>
      <c r="J77" s="23" t="s">
        <v>25</v>
      </c>
      <c r="K77" s="23"/>
      <c r="L77" s="13"/>
      <c r="M77" s="13"/>
      <c r="N77" s="13"/>
      <c r="O77" s="13"/>
    </row>
    <row r="78" spans="1:15" ht="66">
      <c r="A78" s="22">
        <v>86</v>
      </c>
      <c r="B78" s="22">
        <f t="shared" si="1"/>
        <v>65</v>
      </c>
      <c r="C78" s="23" t="s">
        <v>441</v>
      </c>
      <c r="D78" s="23"/>
      <c r="E78" s="23"/>
      <c r="F78" s="33" t="s">
        <v>155</v>
      </c>
      <c r="G78" s="13" t="s">
        <v>353</v>
      </c>
      <c r="H78" s="13"/>
      <c r="I78" s="23" t="s">
        <v>352</v>
      </c>
      <c r="J78" s="23" t="s">
        <v>354</v>
      </c>
      <c r="K78" s="23" t="s">
        <v>350</v>
      </c>
      <c r="L78" s="13">
        <v>845229025</v>
      </c>
      <c r="M78" s="13" t="s">
        <v>351</v>
      </c>
      <c r="N78" s="13"/>
      <c r="O78" s="13"/>
    </row>
    <row r="79" spans="1:15" ht="66">
      <c r="A79" s="22">
        <v>87</v>
      </c>
      <c r="B79" s="22">
        <f t="shared" si="1"/>
        <v>66</v>
      </c>
      <c r="C79" s="23" t="s">
        <v>355</v>
      </c>
      <c r="D79" s="142"/>
      <c r="E79" s="23" t="s">
        <v>615</v>
      </c>
      <c r="F79" s="33" t="s">
        <v>63</v>
      </c>
      <c r="G79" s="13" t="s">
        <v>356</v>
      </c>
      <c r="H79" s="13" t="s">
        <v>488</v>
      </c>
      <c r="I79" s="23" t="s">
        <v>317</v>
      </c>
      <c r="J79" s="23" t="s">
        <v>289</v>
      </c>
      <c r="K79" s="23" t="s">
        <v>779</v>
      </c>
      <c r="L79" s="13">
        <v>862672428</v>
      </c>
      <c r="M79" s="14" t="s">
        <v>780</v>
      </c>
      <c r="N79" s="13">
        <v>2021</v>
      </c>
      <c r="O79" s="13"/>
    </row>
    <row r="80" spans="1:15" ht="49.5">
      <c r="A80" s="22">
        <v>88</v>
      </c>
      <c r="B80" s="22">
        <f t="shared" si="1"/>
        <v>67</v>
      </c>
      <c r="C80" s="23" t="s">
        <v>127</v>
      </c>
      <c r="D80" s="23"/>
      <c r="E80" s="23" t="s">
        <v>615</v>
      </c>
      <c r="F80" s="33" t="s">
        <v>73</v>
      </c>
      <c r="G80" s="13" t="s">
        <v>692</v>
      </c>
      <c r="H80" s="13" t="s">
        <v>657</v>
      </c>
      <c r="I80" s="23" t="s">
        <v>128</v>
      </c>
      <c r="J80" s="23" t="s">
        <v>762</v>
      </c>
      <c r="K80" s="23"/>
      <c r="L80" s="13"/>
      <c r="M80" s="13"/>
      <c r="N80" s="13">
        <v>1997</v>
      </c>
      <c r="O80" s="13"/>
    </row>
    <row r="81" spans="1:15" ht="33">
      <c r="A81" s="22">
        <v>89</v>
      </c>
      <c r="B81" s="22">
        <f t="shared" si="1"/>
        <v>68</v>
      </c>
      <c r="C81" s="23" t="s">
        <v>430</v>
      </c>
      <c r="D81" s="23"/>
      <c r="E81" s="23"/>
      <c r="F81" s="33"/>
      <c r="G81" s="13" t="s">
        <v>1122</v>
      </c>
      <c r="H81" s="13"/>
      <c r="I81" s="23" t="s">
        <v>1123</v>
      </c>
      <c r="J81" s="23" t="s">
        <v>1121</v>
      </c>
      <c r="K81" s="23"/>
      <c r="L81" s="13" t="s">
        <v>346</v>
      </c>
      <c r="M81" s="13" t="s">
        <v>347</v>
      </c>
      <c r="N81" s="13">
        <v>2013</v>
      </c>
      <c r="O81" s="13"/>
    </row>
    <row r="82" spans="1:15" ht="16.5">
      <c r="A82" s="22">
        <v>90</v>
      </c>
      <c r="B82" s="22">
        <f t="shared" si="1"/>
        <v>69</v>
      </c>
      <c r="C82" s="23" t="s">
        <v>129</v>
      </c>
      <c r="D82" s="23"/>
      <c r="E82" s="23"/>
      <c r="F82" s="33"/>
      <c r="G82" s="13"/>
      <c r="H82" s="13"/>
      <c r="I82" s="23"/>
      <c r="J82" s="23" t="s">
        <v>130</v>
      </c>
      <c r="K82" s="23"/>
      <c r="L82" s="13"/>
      <c r="M82" s="13"/>
      <c r="N82" s="13"/>
      <c r="O82" s="13"/>
    </row>
    <row r="83" spans="1:15" ht="51">
      <c r="A83" s="22">
        <v>91</v>
      </c>
      <c r="B83" s="22">
        <f t="shared" si="1"/>
        <v>70</v>
      </c>
      <c r="C83" s="36" t="s">
        <v>515</v>
      </c>
      <c r="D83" s="36"/>
      <c r="E83" s="37"/>
      <c r="F83" s="30" t="s">
        <v>63</v>
      </c>
      <c r="G83" s="130" t="s">
        <v>516</v>
      </c>
      <c r="H83" s="133" t="s">
        <v>517</v>
      </c>
      <c r="I83" s="35" t="s">
        <v>259</v>
      </c>
      <c r="J83" s="23" t="s">
        <v>76</v>
      </c>
      <c r="K83" s="23"/>
      <c r="L83" s="13"/>
      <c r="M83" s="17"/>
      <c r="N83" s="38"/>
      <c r="O83" s="13"/>
    </row>
    <row r="84" spans="1:15" ht="33">
      <c r="A84" s="22">
        <v>92</v>
      </c>
      <c r="B84" s="22">
        <f t="shared" si="1"/>
        <v>71</v>
      </c>
      <c r="C84" s="23" t="s">
        <v>131</v>
      </c>
      <c r="D84" s="23"/>
      <c r="E84" s="23"/>
      <c r="F84" s="33"/>
      <c r="G84" s="13" t="s">
        <v>138</v>
      </c>
      <c r="H84" s="13"/>
      <c r="I84" s="23" t="s">
        <v>132</v>
      </c>
      <c r="J84" s="23" t="s">
        <v>32</v>
      </c>
      <c r="K84" s="23"/>
      <c r="L84" s="13"/>
      <c r="M84" s="13"/>
      <c r="N84" s="13"/>
      <c r="O84" s="13"/>
    </row>
    <row r="85" spans="1:15" ht="33">
      <c r="A85" s="22">
        <v>93</v>
      </c>
      <c r="B85" s="22">
        <f t="shared" si="1"/>
        <v>72</v>
      </c>
      <c r="C85" s="23" t="s">
        <v>133</v>
      </c>
      <c r="D85" s="142"/>
      <c r="E85" s="23"/>
      <c r="F85" s="33" t="s">
        <v>134</v>
      </c>
      <c r="G85" s="13" t="s">
        <v>135</v>
      </c>
      <c r="H85" s="13"/>
      <c r="I85" s="23" t="s">
        <v>647</v>
      </c>
      <c r="J85" s="23" t="s">
        <v>620</v>
      </c>
      <c r="K85" s="23"/>
      <c r="L85" s="13"/>
      <c r="M85" s="13"/>
      <c r="N85" s="13">
        <v>2022</v>
      </c>
      <c r="O85" s="13"/>
    </row>
    <row r="86" spans="1:15" ht="66">
      <c r="A86" s="22">
        <v>94</v>
      </c>
      <c r="B86" s="22">
        <f t="shared" si="1"/>
        <v>73</v>
      </c>
      <c r="C86" s="23" t="s">
        <v>357</v>
      </c>
      <c r="D86" s="142"/>
      <c r="E86" s="23" t="s">
        <v>770</v>
      </c>
      <c r="F86" s="33" t="s">
        <v>63</v>
      </c>
      <c r="G86" s="13" t="s">
        <v>456</v>
      </c>
      <c r="H86" s="13"/>
      <c r="I86" s="23" t="s">
        <v>457</v>
      </c>
      <c r="J86" s="23" t="s">
        <v>358</v>
      </c>
      <c r="K86" s="23"/>
      <c r="L86" s="13"/>
      <c r="M86" s="13"/>
      <c r="N86" s="13"/>
      <c r="O86" s="13"/>
    </row>
    <row r="87" spans="1:15" ht="16.5">
      <c r="A87" s="22">
        <v>95</v>
      </c>
      <c r="B87" s="22">
        <f t="shared" si="1"/>
        <v>74</v>
      </c>
      <c r="C87" s="23" t="s">
        <v>136</v>
      </c>
      <c r="D87" s="23"/>
      <c r="E87" s="23"/>
      <c r="F87" s="33" t="s">
        <v>73</v>
      </c>
      <c r="G87" s="13" t="s">
        <v>584</v>
      </c>
      <c r="H87" s="13"/>
      <c r="I87" s="33" t="s">
        <v>585</v>
      </c>
      <c r="J87" s="23" t="s">
        <v>21</v>
      </c>
      <c r="K87" s="23" t="s">
        <v>586</v>
      </c>
      <c r="L87" s="13"/>
      <c r="M87" s="13"/>
      <c r="N87" s="13"/>
      <c r="O87" s="13"/>
    </row>
    <row r="88" spans="1:15" ht="33">
      <c r="A88" s="22">
        <v>96</v>
      </c>
      <c r="B88" s="22">
        <f t="shared" si="1"/>
        <v>75</v>
      </c>
      <c r="C88" s="23" t="s">
        <v>142</v>
      </c>
      <c r="D88" s="23"/>
      <c r="E88" s="23"/>
      <c r="F88" s="33" t="s">
        <v>93</v>
      </c>
      <c r="G88" s="13" t="s">
        <v>143</v>
      </c>
      <c r="H88" s="13"/>
      <c r="I88" s="23" t="s">
        <v>132</v>
      </c>
      <c r="J88" s="23" t="s">
        <v>428</v>
      </c>
      <c r="K88" s="23" t="s">
        <v>144</v>
      </c>
      <c r="L88" s="13">
        <v>822750095</v>
      </c>
      <c r="M88" s="13" t="s">
        <v>360</v>
      </c>
      <c r="N88" s="13">
        <v>1986</v>
      </c>
      <c r="O88" s="13"/>
    </row>
    <row r="89" spans="1:15" ht="49.5">
      <c r="A89" s="22">
        <v>97</v>
      </c>
      <c r="B89" s="22">
        <f t="shared" si="1"/>
        <v>76</v>
      </c>
      <c r="C89" s="23" t="s">
        <v>137</v>
      </c>
      <c r="D89" s="23"/>
      <c r="E89" s="23"/>
      <c r="F89" s="33" t="s">
        <v>63</v>
      </c>
      <c r="G89" s="13" t="s">
        <v>138</v>
      </c>
      <c r="H89" s="13"/>
      <c r="I89" s="23" t="s">
        <v>37</v>
      </c>
      <c r="J89" s="23" t="s">
        <v>139</v>
      </c>
      <c r="K89" s="23" t="s">
        <v>140</v>
      </c>
      <c r="L89" s="13" t="s">
        <v>141</v>
      </c>
      <c r="M89" s="13" t="s">
        <v>359</v>
      </c>
      <c r="N89" s="13"/>
      <c r="O89" s="38"/>
    </row>
    <row r="90" spans="1:15" ht="16.5">
      <c r="A90" s="22">
        <v>98</v>
      </c>
      <c r="B90" s="22">
        <f t="shared" si="1"/>
        <v>77</v>
      </c>
      <c r="C90" s="23" t="s">
        <v>361</v>
      </c>
      <c r="D90" s="23"/>
      <c r="E90" s="23"/>
      <c r="F90" s="33"/>
      <c r="G90" s="13"/>
      <c r="H90" s="13"/>
      <c r="I90" s="23" t="s">
        <v>37</v>
      </c>
      <c r="J90" s="23"/>
      <c r="K90" s="23" t="s">
        <v>362</v>
      </c>
      <c r="L90" s="13" t="s">
        <v>363</v>
      </c>
      <c r="M90" s="13"/>
      <c r="N90" s="13"/>
      <c r="O90" s="13"/>
    </row>
    <row r="91" spans="1:15" ht="33">
      <c r="A91" s="22">
        <v>99</v>
      </c>
      <c r="B91" s="22">
        <f t="shared" si="1"/>
        <v>78</v>
      </c>
      <c r="C91" s="23" t="s">
        <v>145</v>
      </c>
      <c r="D91" s="23"/>
      <c r="E91" s="23"/>
      <c r="F91" s="33" t="s">
        <v>146</v>
      </c>
      <c r="G91" s="13" t="s">
        <v>147</v>
      </c>
      <c r="H91" s="13"/>
      <c r="I91" s="23" t="s">
        <v>132</v>
      </c>
      <c r="J91" s="23" t="s">
        <v>21</v>
      </c>
      <c r="K91" s="23"/>
      <c r="L91" s="13"/>
      <c r="M91" s="13"/>
      <c r="N91" s="13"/>
      <c r="O91" s="13"/>
    </row>
    <row r="92" spans="1:15" ht="66">
      <c r="A92" s="22">
        <v>101</v>
      </c>
      <c r="B92" s="22">
        <f t="shared" si="1"/>
        <v>79</v>
      </c>
      <c r="C92" s="23" t="s">
        <v>1170</v>
      </c>
      <c r="D92" s="142"/>
      <c r="E92" s="23" t="s">
        <v>25</v>
      </c>
      <c r="F92" s="33" t="s">
        <v>35</v>
      </c>
      <c r="G92" s="13" t="s">
        <v>148</v>
      </c>
      <c r="H92" s="13" t="s">
        <v>667</v>
      </c>
      <c r="I92" s="23" t="s">
        <v>668</v>
      </c>
      <c r="J92" s="23" t="s">
        <v>475</v>
      </c>
      <c r="K92" s="23" t="s">
        <v>477</v>
      </c>
      <c r="L92" s="13">
        <v>866778000</v>
      </c>
      <c r="M92" s="13" t="s">
        <v>476</v>
      </c>
      <c r="N92" s="13">
        <v>20121</v>
      </c>
      <c r="O92" s="13"/>
    </row>
    <row r="93" spans="1:15" ht="66">
      <c r="A93" s="22">
        <v>102</v>
      </c>
      <c r="B93" s="22">
        <f t="shared" si="1"/>
        <v>80</v>
      </c>
      <c r="C93" s="23" t="s">
        <v>364</v>
      </c>
      <c r="D93" s="142"/>
      <c r="E93" s="23"/>
      <c r="F93" s="33" t="s">
        <v>150</v>
      </c>
      <c r="G93" s="13" t="s">
        <v>369</v>
      </c>
      <c r="H93" s="13"/>
      <c r="I93" s="23" t="s">
        <v>368</v>
      </c>
      <c r="J93" s="23" t="s">
        <v>370</v>
      </c>
      <c r="K93" s="23" t="s">
        <v>365</v>
      </c>
      <c r="L93" s="13" t="s">
        <v>366</v>
      </c>
      <c r="M93" s="13" t="s">
        <v>367</v>
      </c>
      <c r="N93" s="13"/>
      <c r="O93" s="13"/>
    </row>
    <row r="94" spans="1:15" ht="66">
      <c r="A94" s="22">
        <v>104</v>
      </c>
      <c r="B94" s="22">
        <f t="shared" si="1"/>
        <v>81</v>
      </c>
      <c r="C94" s="23" t="s">
        <v>149</v>
      </c>
      <c r="D94" s="142"/>
      <c r="E94" s="23" t="s">
        <v>615</v>
      </c>
      <c r="F94" s="33" t="s">
        <v>150</v>
      </c>
      <c r="G94" s="13" t="s">
        <v>449</v>
      </c>
      <c r="H94" s="13" t="s">
        <v>757</v>
      </c>
      <c r="I94" s="23" t="s">
        <v>450</v>
      </c>
      <c r="J94" s="23" t="s">
        <v>616</v>
      </c>
      <c r="K94" s="23" t="s">
        <v>432</v>
      </c>
      <c r="L94" s="13" t="s">
        <v>431</v>
      </c>
      <c r="M94" s="13" t="s">
        <v>617</v>
      </c>
      <c r="N94" s="13">
        <v>1999</v>
      </c>
      <c r="O94" s="13"/>
    </row>
    <row r="95" spans="1:15" ht="33">
      <c r="A95" s="22">
        <v>106</v>
      </c>
      <c r="B95" s="22">
        <f t="shared" si="1"/>
        <v>82</v>
      </c>
      <c r="C95" s="23" t="s">
        <v>151</v>
      </c>
      <c r="D95" s="23"/>
      <c r="E95" s="23" t="s">
        <v>576</v>
      </c>
      <c r="F95" s="33" t="s">
        <v>63</v>
      </c>
      <c r="G95" s="13"/>
      <c r="H95" s="13" t="s">
        <v>669</v>
      </c>
      <c r="I95" s="23" t="s">
        <v>28</v>
      </c>
      <c r="J95" s="23" t="s">
        <v>670</v>
      </c>
      <c r="K95" s="23" t="s">
        <v>621</v>
      </c>
      <c r="L95" s="13" t="s">
        <v>622</v>
      </c>
      <c r="M95" s="13" t="s">
        <v>371</v>
      </c>
      <c r="N95" s="13">
        <v>2019</v>
      </c>
      <c r="O95" s="13"/>
    </row>
    <row r="96" spans="1:15" ht="49.5">
      <c r="A96" s="22">
        <v>107</v>
      </c>
      <c r="B96" s="22">
        <f t="shared" si="1"/>
        <v>83</v>
      </c>
      <c r="C96" s="23" t="s">
        <v>152</v>
      </c>
      <c r="D96" s="23"/>
      <c r="E96" s="23" t="s">
        <v>720</v>
      </c>
      <c r="F96" s="33" t="s">
        <v>723</v>
      </c>
      <c r="G96" s="23" t="s">
        <v>601</v>
      </c>
      <c r="H96" s="23" t="s">
        <v>63</v>
      </c>
      <c r="I96" s="23" t="s">
        <v>501</v>
      </c>
      <c r="J96" s="23" t="s">
        <v>502</v>
      </c>
      <c r="K96" s="23" t="s">
        <v>721</v>
      </c>
      <c r="L96" s="23" t="s">
        <v>722</v>
      </c>
      <c r="M96" s="23" t="s">
        <v>503</v>
      </c>
      <c r="N96" s="26">
        <v>2020</v>
      </c>
      <c r="O96" s="13"/>
    </row>
    <row r="97" spans="1:15" ht="16.5">
      <c r="A97" s="22">
        <v>108</v>
      </c>
      <c r="B97" s="22">
        <f t="shared" si="1"/>
        <v>84</v>
      </c>
      <c r="C97" s="23" t="s">
        <v>153</v>
      </c>
      <c r="D97" s="23"/>
      <c r="E97" s="23"/>
      <c r="F97" s="33" t="s">
        <v>724</v>
      </c>
      <c r="G97" s="13" t="s">
        <v>726</v>
      </c>
      <c r="H97" s="13"/>
      <c r="I97" s="23" t="s">
        <v>28</v>
      </c>
      <c r="J97" s="23" t="s">
        <v>154</v>
      </c>
      <c r="K97" s="23" t="s">
        <v>725</v>
      </c>
      <c r="L97" s="13">
        <v>855203344</v>
      </c>
      <c r="M97" s="13"/>
      <c r="N97" s="13"/>
      <c r="O97" s="13"/>
    </row>
    <row r="98" spans="1:15" ht="49.5">
      <c r="A98" s="22">
        <v>109</v>
      </c>
      <c r="B98" s="22">
        <f t="shared" si="1"/>
        <v>85</v>
      </c>
      <c r="C98" s="23" t="s">
        <v>372</v>
      </c>
      <c r="D98" s="23"/>
      <c r="E98" s="23"/>
      <c r="F98" s="33" t="s">
        <v>316</v>
      </c>
      <c r="G98" s="13" t="s">
        <v>375</v>
      </c>
      <c r="H98" s="13"/>
      <c r="I98" s="23" t="s">
        <v>596</v>
      </c>
      <c r="J98" s="23" t="s">
        <v>32</v>
      </c>
      <c r="K98" s="23" t="s">
        <v>373</v>
      </c>
      <c r="L98" s="13">
        <v>869049250</v>
      </c>
      <c r="M98" s="14" t="s">
        <v>374</v>
      </c>
      <c r="N98" s="13"/>
      <c r="O98" s="13"/>
    </row>
    <row r="99" spans="1:15" ht="66">
      <c r="A99" s="22">
        <v>111</v>
      </c>
      <c r="B99" s="22">
        <f t="shared" si="1"/>
        <v>86</v>
      </c>
      <c r="C99" s="23" t="s">
        <v>789</v>
      </c>
      <c r="D99" s="145"/>
      <c r="E99" s="23"/>
      <c r="F99" s="33" t="s">
        <v>155</v>
      </c>
      <c r="G99" s="13" t="s">
        <v>156</v>
      </c>
      <c r="H99" s="13"/>
      <c r="I99" s="23" t="s">
        <v>132</v>
      </c>
      <c r="J99" s="23"/>
      <c r="K99" s="23"/>
      <c r="L99" s="13"/>
      <c r="M99" s="13"/>
      <c r="N99" s="13"/>
      <c r="O99" s="13"/>
    </row>
    <row r="100" spans="1:15" ht="49.5">
      <c r="A100" s="22">
        <v>112</v>
      </c>
      <c r="B100" s="22">
        <f t="shared" si="1"/>
        <v>87</v>
      </c>
      <c r="C100" s="23" t="s">
        <v>157</v>
      </c>
      <c r="D100" s="142"/>
      <c r="E100" s="23" t="s">
        <v>25</v>
      </c>
      <c r="F100" s="33" t="s">
        <v>797</v>
      </c>
      <c r="G100" s="13" t="s">
        <v>798</v>
      </c>
      <c r="H100" s="13"/>
      <c r="I100" s="23" t="s">
        <v>598</v>
      </c>
      <c r="J100" s="23" t="s">
        <v>158</v>
      </c>
      <c r="K100" s="23"/>
      <c r="L100" s="13" t="s">
        <v>979</v>
      </c>
      <c r="M100" s="13"/>
      <c r="N100" s="13"/>
      <c r="O100" s="13"/>
    </row>
    <row r="101" spans="1:15" ht="16.5">
      <c r="A101" s="22">
        <v>113</v>
      </c>
      <c r="B101" s="22">
        <f t="shared" si="1"/>
        <v>88</v>
      </c>
      <c r="C101" s="23" t="s">
        <v>634</v>
      </c>
      <c r="D101" s="23"/>
      <c r="E101" s="23" t="s">
        <v>576</v>
      </c>
      <c r="F101" s="33" t="s">
        <v>316</v>
      </c>
      <c r="G101" s="13"/>
      <c r="H101" s="13" t="s">
        <v>634</v>
      </c>
      <c r="I101" s="23" t="s">
        <v>635</v>
      </c>
      <c r="J101" s="23" t="s">
        <v>19</v>
      </c>
      <c r="K101" s="23" t="s">
        <v>636</v>
      </c>
      <c r="L101" s="13">
        <v>848648642</v>
      </c>
      <c r="M101" s="14" t="s">
        <v>637</v>
      </c>
      <c r="N101" s="13">
        <v>2019</v>
      </c>
      <c r="O101" s="13"/>
    </row>
    <row r="102" spans="1:15" ht="82.5">
      <c r="A102" s="22">
        <v>115</v>
      </c>
      <c r="B102" s="22">
        <f t="shared" si="1"/>
        <v>89</v>
      </c>
      <c r="C102" s="23" t="s">
        <v>161</v>
      </c>
      <c r="D102" s="23"/>
      <c r="E102" s="23" t="s">
        <v>25</v>
      </c>
      <c r="F102" s="33" t="s">
        <v>63</v>
      </c>
      <c r="G102" s="13" t="s">
        <v>573</v>
      </c>
      <c r="H102" s="13" t="s">
        <v>488</v>
      </c>
      <c r="I102" s="23" t="s">
        <v>593</v>
      </c>
      <c r="J102" s="23" t="s">
        <v>377</v>
      </c>
      <c r="K102" s="23" t="s">
        <v>574</v>
      </c>
      <c r="L102" s="13" t="s">
        <v>162</v>
      </c>
      <c r="M102" s="13" t="s">
        <v>376</v>
      </c>
      <c r="N102" s="13">
        <v>2010</v>
      </c>
      <c r="O102" s="13"/>
    </row>
    <row r="103" spans="1:15" ht="16.5">
      <c r="A103" s="22">
        <v>116</v>
      </c>
      <c r="B103" s="22">
        <f t="shared" si="1"/>
        <v>90</v>
      </c>
      <c r="C103" s="23" t="s">
        <v>163</v>
      </c>
      <c r="D103" s="23"/>
      <c r="E103" s="23"/>
      <c r="F103" s="33"/>
      <c r="G103" s="13"/>
      <c r="H103" s="13"/>
      <c r="I103" s="23" t="s">
        <v>22</v>
      </c>
      <c r="J103" s="23" t="s">
        <v>25</v>
      </c>
      <c r="K103" s="23"/>
      <c r="L103" s="13"/>
      <c r="M103" s="13"/>
      <c r="N103" s="13"/>
      <c r="O103" s="13"/>
    </row>
    <row r="104" spans="1:15" ht="49.5">
      <c r="A104" s="22">
        <v>117</v>
      </c>
      <c r="B104" s="22">
        <f t="shared" si="1"/>
        <v>91</v>
      </c>
      <c r="C104" s="23" t="s">
        <v>166</v>
      </c>
      <c r="D104" s="23"/>
      <c r="E104" s="23"/>
      <c r="F104" s="33" t="s">
        <v>73</v>
      </c>
      <c r="G104" s="13" t="s">
        <v>167</v>
      </c>
      <c r="H104" s="13"/>
      <c r="I104" s="23" t="s">
        <v>168</v>
      </c>
      <c r="J104" s="23"/>
      <c r="K104" s="23"/>
      <c r="L104" s="13"/>
      <c r="M104" s="13"/>
      <c r="N104" s="13"/>
      <c r="O104" s="13"/>
    </row>
    <row r="105" spans="1:15" ht="33">
      <c r="A105" s="22">
        <v>118</v>
      </c>
      <c r="B105" s="22">
        <f t="shared" si="1"/>
        <v>92</v>
      </c>
      <c r="C105" s="23" t="s">
        <v>378</v>
      </c>
      <c r="D105" s="23"/>
      <c r="E105" s="23"/>
      <c r="F105" s="33" t="s">
        <v>63</v>
      </c>
      <c r="G105" s="13" t="s">
        <v>382</v>
      </c>
      <c r="H105" s="13"/>
      <c r="I105" s="23" t="s">
        <v>348</v>
      </c>
      <c r="J105" s="23"/>
      <c r="K105" s="23" t="s">
        <v>379</v>
      </c>
      <c r="L105" s="13" t="s">
        <v>380</v>
      </c>
      <c r="M105" s="13" t="s">
        <v>381</v>
      </c>
      <c r="N105" s="13"/>
      <c r="O105" s="13"/>
    </row>
    <row r="106" spans="1:15" ht="126">
      <c r="A106" s="22">
        <v>119</v>
      </c>
      <c r="B106" s="22">
        <f t="shared" si="1"/>
        <v>93</v>
      </c>
      <c r="C106" s="34" t="s">
        <v>771</v>
      </c>
      <c r="D106" s="34"/>
      <c r="E106" s="34" t="s">
        <v>576</v>
      </c>
      <c r="F106" s="43" t="s">
        <v>63</v>
      </c>
      <c r="G106" s="19" t="s">
        <v>169</v>
      </c>
      <c r="H106" s="19" t="s">
        <v>774</v>
      </c>
      <c r="I106" s="43" t="s">
        <v>37</v>
      </c>
      <c r="J106" s="34" t="s">
        <v>775</v>
      </c>
      <c r="K106" s="34" t="s">
        <v>772</v>
      </c>
      <c r="L106" s="44" t="s">
        <v>773</v>
      </c>
      <c r="M106" s="13"/>
      <c r="N106" s="13">
        <v>1987</v>
      </c>
      <c r="O106" s="13"/>
    </row>
    <row r="107" spans="1:15" ht="16.5">
      <c r="A107" s="22">
        <v>120</v>
      </c>
      <c r="B107" s="22">
        <f t="shared" si="1"/>
        <v>94</v>
      </c>
      <c r="C107" s="23" t="s">
        <v>170</v>
      </c>
      <c r="D107" s="23"/>
      <c r="E107" s="23"/>
      <c r="F107" s="33"/>
      <c r="G107" s="13"/>
      <c r="H107" s="13"/>
      <c r="I107" s="23" t="s">
        <v>22</v>
      </c>
      <c r="J107" s="23" t="s">
        <v>25</v>
      </c>
      <c r="K107" s="23"/>
      <c r="L107" s="13"/>
      <c r="M107" s="13"/>
      <c r="N107" s="13"/>
      <c r="O107" s="13"/>
    </row>
    <row r="108" spans="1:15" ht="49.5">
      <c r="A108" s="22">
        <v>121</v>
      </c>
      <c r="B108" s="22">
        <f t="shared" si="1"/>
        <v>95</v>
      </c>
      <c r="C108" s="23" t="s">
        <v>177</v>
      </c>
      <c r="D108" s="142"/>
      <c r="E108" s="23" t="s">
        <v>387</v>
      </c>
      <c r="F108" s="33" t="s">
        <v>178</v>
      </c>
      <c r="G108" s="23" t="s">
        <v>693</v>
      </c>
      <c r="H108" s="23" t="s">
        <v>345</v>
      </c>
      <c r="I108" s="23" t="s">
        <v>648</v>
      </c>
      <c r="J108" s="23" t="s">
        <v>694</v>
      </c>
      <c r="K108" s="23" t="s">
        <v>179</v>
      </c>
      <c r="L108" s="13" t="s">
        <v>180</v>
      </c>
      <c r="M108" s="13" t="s">
        <v>386</v>
      </c>
      <c r="N108" s="13">
        <v>2003</v>
      </c>
      <c r="O108" s="13"/>
    </row>
    <row r="109" spans="1:15" ht="16.5">
      <c r="A109" s="22">
        <v>122</v>
      </c>
      <c r="B109" s="22">
        <f t="shared" si="1"/>
        <v>96</v>
      </c>
      <c r="C109" s="49" t="s">
        <v>181</v>
      </c>
      <c r="D109" s="49"/>
      <c r="E109" s="49"/>
      <c r="F109" s="118"/>
      <c r="G109" s="20"/>
      <c r="H109" s="20"/>
      <c r="I109" s="49"/>
      <c r="J109" s="49" t="s">
        <v>21</v>
      </c>
      <c r="K109" s="49"/>
      <c r="L109" s="20"/>
      <c r="M109" s="20"/>
      <c r="N109" s="20"/>
      <c r="O109" s="20"/>
    </row>
    <row r="110" spans="1:15" ht="37.5" customHeight="1">
      <c r="A110" s="22">
        <v>123</v>
      </c>
      <c r="B110" s="22">
        <f t="shared" si="1"/>
        <v>97</v>
      </c>
      <c r="C110" s="23" t="s">
        <v>446</v>
      </c>
      <c r="D110" s="146"/>
      <c r="E110" s="23"/>
      <c r="F110" s="33" t="s">
        <v>35</v>
      </c>
      <c r="G110" s="13" t="s">
        <v>448</v>
      </c>
      <c r="H110" s="13"/>
      <c r="I110" s="23" t="s">
        <v>37</v>
      </c>
      <c r="J110" s="23" t="s">
        <v>420</v>
      </c>
      <c r="K110" s="23" t="s">
        <v>421</v>
      </c>
      <c r="L110" s="13" t="s">
        <v>471</v>
      </c>
      <c r="M110" s="14" t="s">
        <v>472</v>
      </c>
      <c r="N110" s="13">
        <v>1978</v>
      </c>
      <c r="O110" s="13"/>
    </row>
    <row r="111" spans="1:15" ht="48.75" customHeight="1">
      <c r="A111" s="22">
        <v>124</v>
      </c>
      <c r="B111" s="22">
        <f t="shared" ref="B111:B156" si="2">+B110+1</f>
        <v>98</v>
      </c>
      <c r="C111" s="23" t="s">
        <v>182</v>
      </c>
      <c r="D111" s="23"/>
      <c r="E111" s="23"/>
      <c r="F111" s="33" t="s">
        <v>183</v>
      </c>
      <c r="G111" s="13" t="s">
        <v>184</v>
      </c>
      <c r="H111" s="13"/>
      <c r="I111" s="23" t="s">
        <v>37</v>
      </c>
      <c r="J111" s="23" t="s">
        <v>21</v>
      </c>
      <c r="K111" s="23"/>
      <c r="L111" s="13"/>
      <c r="M111" s="13"/>
      <c r="N111" s="13"/>
      <c r="O111" s="13"/>
    </row>
    <row r="112" spans="1:15" ht="82.5">
      <c r="A112" s="22">
        <v>126</v>
      </c>
      <c r="B112" s="22">
        <f t="shared" si="2"/>
        <v>99</v>
      </c>
      <c r="C112" s="23" t="s">
        <v>389</v>
      </c>
      <c r="D112" s="146"/>
      <c r="E112" s="23"/>
      <c r="F112" s="33" t="s">
        <v>88</v>
      </c>
      <c r="G112" s="13" t="s">
        <v>445</v>
      </c>
      <c r="H112" s="13"/>
      <c r="I112" s="23" t="s">
        <v>37</v>
      </c>
      <c r="J112" s="23" t="s">
        <v>25</v>
      </c>
      <c r="K112" s="23" t="s">
        <v>390</v>
      </c>
      <c r="L112" s="13" t="s">
        <v>391</v>
      </c>
      <c r="M112" s="13" t="s">
        <v>392</v>
      </c>
      <c r="N112" s="13"/>
      <c r="O112" s="13"/>
    </row>
    <row r="113" spans="1:15" ht="82.5">
      <c r="A113" s="22">
        <v>127</v>
      </c>
      <c r="B113" s="22">
        <f t="shared" si="2"/>
        <v>100</v>
      </c>
      <c r="C113" s="23" t="s">
        <v>754</v>
      </c>
      <c r="D113" s="23"/>
      <c r="E113" s="23" t="s">
        <v>25</v>
      </c>
      <c r="F113" s="33" t="s">
        <v>695</v>
      </c>
      <c r="G113" s="13" t="s">
        <v>697</v>
      </c>
      <c r="H113" s="132" t="s">
        <v>696</v>
      </c>
      <c r="I113" s="23" t="s">
        <v>755</v>
      </c>
      <c r="J113" s="23" t="s">
        <v>185</v>
      </c>
      <c r="K113" s="23" t="s">
        <v>433</v>
      </c>
      <c r="L113" s="13" t="s">
        <v>434</v>
      </c>
      <c r="M113" s="19" t="s">
        <v>388</v>
      </c>
      <c r="N113" s="13"/>
      <c r="O113" s="13"/>
    </row>
    <row r="114" spans="1:15" ht="16.5">
      <c r="A114" s="22">
        <v>130</v>
      </c>
      <c r="B114" s="22">
        <f t="shared" si="2"/>
        <v>101</v>
      </c>
      <c r="C114" s="23" t="s">
        <v>186</v>
      </c>
      <c r="D114" s="23"/>
      <c r="E114" s="23"/>
      <c r="F114" s="33"/>
      <c r="G114" s="13"/>
      <c r="H114" s="20"/>
      <c r="I114" s="23" t="s">
        <v>37</v>
      </c>
      <c r="J114" s="23" t="s">
        <v>32</v>
      </c>
      <c r="K114" s="23"/>
      <c r="L114" s="13"/>
      <c r="M114" s="13"/>
      <c r="N114" s="13"/>
      <c r="O114" s="13"/>
    </row>
    <row r="115" spans="1:15" ht="49.5">
      <c r="A115" s="22">
        <v>131</v>
      </c>
      <c r="B115" s="22">
        <f t="shared" si="2"/>
        <v>102</v>
      </c>
      <c r="C115" s="23" t="s">
        <v>187</v>
      </c>
      <c r="D115" s="142"/>
      <c r="E115" s="23" t="s">
        <v>748</v>
      </c>
      <c r="F115" s="33" t="s">
        <v>345</v>
      </c>
      <c r="G115" s="13" t="s">
        <v>188</v>
      </c>
      <c r="H115" s="134" t="s">
        <v>178</v>
      </c>
      <c r="I115" s="23" t="s">
        <v>776</v>
      </c>
      <c r="J115" s="23" t="s">
        <v>777</v>
      </c>
      <c r="K115" s="23" t="s">
        <v>575</v>
      </c>
      <c r="L115" s="13" t="s">
        <v>778</v>
      </c>
      <c r="M115" s="13" t="s">
        <v>393</v>
      </c>
      <c r="N115" s="13">
        <v>2002</v>
      </c>
      <c r="O115" s="13"/>
    </row>
    <row r="116" spans="1:15" ht="44.25" customHeight="1">
      <c r="A116" s="22">
        <v>132</v>
      </c>
      <c r="B116" s="22">
        <f t="shared" si="2"/>
        <v>103</v>
      </c>
      <c r="C116" s="23" t="s">
        <v>394</v>
      </c>
      <c r="D116" s="23"/>
      <c r="E116" s="23"/>
      <c r="F116" s="33" t="s">
        <v>384</v>
      </c>
      <c r="G116" s="13" t="s">
        <v>396</v>
      </c>
      <c r="H116" s="20"/>
      <c r="I116" s="23" t="s">
        <v>259</v>
      </c>
      <c r="J116" s="23" t="s">
        <v>25</v>
      </c>
      <c r="K116" s="23" t="s">
        <v>395</v>
      </c>
      <c r="L116" s="13">
        <v>841225560</v>
      </c>
      <c r="M116" s="13"/>
      <c r="N116" s="13"/>
      <c r="O116" s="13"/>
    </row>
    <row r="117" spans="1:15" ht="66">
      <c r="A117" s="22">
        <v>133</v>
      </c>
      <c r="B117" s="22">
        <f t="shared" si="2"/>
        <v>104</v>
      </c>
      <c r="C117" s="34" t="s">
        <v>189</v>
      </c>
      <c r="D117" s="34"/>
      <c r="E117" s="41" t="s">
        <v>716</v>
      </c>
      <c r="F117" s="43" t="s">
        <v>63</v>
      </c>
      <c r="G117" s="13" t="s">
        <v>190</v>
      </c>
      <c r="H117" s="13" t="s">
        <v>84</v>
      </c>
      <c r="I117" s="34" t="s">
        <v>717</v>
      </c>
      <c r="J117" s="23" t="s">
        <v>191</v>
      </c>
      <c r="K117" s="34" t="s">
        <v>718</v>
      </c>
      <c r="L117" s="13" t="s">
        <v>719</v>
      </c>
      <c r="M117" s="13" t="s">
        <v>192</v>
      </c>
      <c r="N117" s="41">
        <v>2020</v>
      </c>
      <c r="O117" s="13"/>
    </row>
    <row r="118" spans="1:15" ht="16.5">
      <c r="A118" s="22">
        <v>137</v>
      </c>
      <c r="B118" s="22">
        <f t="shared" si="2"/>
        <v>105</v>
      </c>
      <c r="C118" s="23" t="s">
        <v>193</v>
      </c>
      <c r="D118" s="23"/>
      <c r="E118" s="23"/>
      <c r="F118" s="33"/>
      <c r="G118" s="13"/>
      <c r="H118" s="13"/>
      <c r="I118" s="23" t="s">
        <v>599</v>
      </c>
      <c r="J118" s="23" t="s">
        <v>55</v>
      </c>
      <c r="K118" s="23"/>
      <c r="L118" s="13"/>
      <c r="M118" s="13"/>
      <c r="N118" s="13"/>
      <c r="O118" s="13"/>
    </row>
    <row r="119" spans="1:15" ht="33">
      <c r="A119" s="22">
        <v>138</v>
      </c>
      <c r="B119" s="22">
        <f t="shared" si="2"/>
        <v>106</v>
      </c>
      <c r="C119" s="23" t="s">
        <v>194</v>
      </c>
      <c r="D119" s="23"/>
      <c r="E119" s="23"/>
      <c r="F119" s="33" t="s">
        <v>63</v>
      </c>
      <c r="G119" s="13" t="s">
        <v>584</v>
      </c>
      <c r="H119" s="13"/>
      <c r="I119" s="23" t="s">
        <v>641</v>
      </c>
      <c r="J119" s="23" t="s">
        <v>642</v>
      </c>
      <c r="K119" s="34" t="s">
        <v>643</v>
      </c>
      <c r="L119" s="13">
        <v>863795050</v>
      </c>
      <c r="M119" s="13"/>
      <c r="N119" s="13"/>
      <c r="O119" s="13"/>
    </row>
    <row r="120" spans="1:15" ht="102" customHeight="1">
      <c r="A120" s="22">
        <v>139</v>
      </c>
      <c r="B120" s="22">
        <f t="shared" si="2"/>
        <v>107</v>
      </c>
      <c r="C120" s="23" t="s">
        <v>196</v>
      </c>
      <c r="D120" s="23"/>
      <c r="E120" s="23" t="s">
        <v>25</v>
      </c>
      <c r="F120" s="23" t="s">
        <v>509</v>
      </c>
      <c r="G120" s="13" t="s">
        <v>605</v>
      </c>
      <c r="H120" s="13" t="s">
        <v>509</v>
      </c>
      <c r="I120" s="23" t="s">
        <v>604</v>
      </c>
      <c r="J120" s="23" t="s">
        <v>606</v>
      </c>
      <c r="K120" s="23" t="s">
        <v>607</v>
      </c>
      <c r="L120" s="23" t="s">
        <v>608</v>
      </c>
      <c r="M120" s="18" t="s">
        <v>510</v>
      </c>
      <c r="N120" s="26">
        <v>2015</v>
      </c>
      <c r="O120" s="13"/>
    </row>
    <row r="121" spans="1:15" ht="33">
      <c r="A121" s="22">
        <v>141</v>
      </c>
      <c r="B121" s="22">
        <f t="shared" si="2"/>
        <v>108</v>
      </c>
      <c r="C121" s="23" t="s">
        <v>197</v>
      </c>
      <c r="D121" s="23"/>
      <c r="E121" s="23"/>
      <c r="F121" s="33" t="s">
        <v>155</v>
      </c>
      <c r="G121" s="13" t="s">
        <v>674</v>
      </c>
      <c r="H121" s="13" t="s">
        <v>673</v>
      </c>
      <c r="I121" s="23" t="s">
        <v>672</v>
      </c>
      <c r="J121" s="23" t="s">
        <v>671</v>
      </c>
      <c r="K121" s="23"/>
      <c r="L121" s="13"/>
      <c r="M121" s="13"/>
      <c r="N121" s="13"/>
      <c r="O121" s="13"/>
    </row>
    <row r="122" spans="1:15" ht="66">
      <c r="A122" s="22">
        <v>142</v>
      </c>
      <c r="B122" s="22">
        <f t="shared" si="2"/>
        <v>109</v>
      </c>
      <c r="C122" s="23" t="s">
        <v>489</v>
      </c>
      <c r="D122" s="23"/>
      <c r="E122" s="29" t="s">
        <v>546</v>
      </c>
      <c r="F122" s="26" t="s">
        <v>63</v>
      </c>
      <c r="G122" s="13" t="s">
        <v>547</v>
      </c>
      <c r="H122" s="28" t="s">
        <v>548</v>
      </c>
      <c r="I122" s="23" t="s">
        <v>37</v>
      </c>
      <c r="J122" s="23" t="s">
        <v>566</v>
      </c>
      <c r="K122" s="29" t="s">
        <v>549</v>
      </c>
      <c r="L122" s="28" t="s">
        <v>550</v>
      </c>
      <c r="M122" s="14" t="s">
        <v>551</v>
      </c>
      <c r="N122" s="28">
        <v>2014</v>
      </c>
      <c r="O122" s="13"/>
    </row>
    <row r="123" spans="1:15" ht="49.5">
      <c r="A123" s="22">
        <v>143</v>
      </c>
      <c r="B123" s="22">
        <f t="shared" si="2"/>
        <v>110</v>
      </c>
      <c r="C123" s="23" t="s">
        <v>198</v>
      </c>
      <c r="D123" s="146"/>
      <c r="E123" s="23" t="s">
        <v>975</v>
      </c>
      <c r="F123" s="33" t="s">
        <v>974</v>
      </c>
      <c r="G123" s="13" t="s">
        <v>600</v>
      </c>
      <c r="H123" s="13"/>
      <c r="I123" s="23" t="s">
        <v>195</v>
      </c>
      <c r="J123" s="23" t="s">
        <v>158</v>
      </c>
      <c r="K123" s="23" t="s">
        <v>976</v>
      </c>
      <c r="L123" s="13" t="s">
        <v>977</v>
      </c>
      <c r="M123" s="13" t="s">
        <v>978</v>
      </c>
      <c r="N123" s="13"/>
      <c r="O123" s="13"/>
    </row>
    <row r="124" spans="1:15" ht="70.5" customHeight="1">
      <c r="A124" s="22">
        <v>144</v>
      </c>
      <c r="B124" s="22">
        <f t="shared" si="2"/>
        <v>111</v>
      </c>
      <c r="C124" s="23" t="s">
        <v>794</v>
      </c>
      <c r="D124" s="146"/>
      <c r="E124" s="23"/>
      <c r="F124" s="33"/>
      <c r="G124" s="13" t="s">
        <v>795</v>
      </c>
      <c r="H124" s="13"/>
      <c r="I124" s="23" t="s">
        <v>585</v>
      </c>
      <c r="J124" s="23" t="s">
        <v>154</v>
      </c>
      <c r="K124" s="23"/>
      <c r="L124" s="13">
        <v>878405343</v>
      </c>
      <c r="M124" s="13"/>
      <c r="N124" s="13"/>
      <c r="O124" s="13"/>
    </row>
    <row r="125" spans="1:15" ht="54.75" customHeight="1">
      <c r="A125" s="22">
        <v>146</v>
      </c>
      <c r="B125" s="22">
        <f t="shared" si="2"/>
        <v>112</v>
      </c>
      <c r="C125" s="23" t="s">
        <v>801</v>
      </c>
      <c r="D125" s="146"/>
      <c r="E125" s="23" t="s">
        <v>731</v>
      </c>
      <c r="F125" s="33" t="s">
        <v>698</v>
      </c>
      <c r="G125" s="13" t="s">
        <v>737</v>
      </c>
      <c r="H125" s="13"/>
      <c r="I125" s="23" t="s">
        <v>733</v>
      </c>
      <c r="J125" s="23" t="s">
        <v>732</v>
      </c>
      <c r="K125" s="23"/>
      <c r="L125" s="13" t="s">
        <v>738</v>
      </c>
      <c r="M125" s="14" t="s">
        <v>739</v>
      </c>
      <c r="N125" s="13"/>
      <c r="O125" s="13"/>
    </row>
    <row r="126" spans="1:15" ht="82.5">
      <c r="A126" s="22">
        <v>147</v>
      </c>
      <c r="B126" s="22">
        <f t="shared" si="2"/>
        <v>113</v>
      </c>
      <c r="C126" s="23" t="s">
        <v>397</v>
      </c>
      <c r="D126" s="23"/>
      <c r="E126" s="29"/>
      <c r="F126" s="33" t="s">
        <v>698</v>
      </c>
      <c r="G126" s="13" t="s">
        <v>444</v>
      </c>
      <c r="H126" s="13"/>
      <c r="I126" s="23" t="s">
        <v>199</v>
      </c>
      <c r="J126" s="23" t="s">
        <v>200</v>
      </c>
      <c r="K126" s="23"/>
      <c r="L126" s="13"/>
      <c r="M126" s="13"/>
      <c r="N126" s="13"/>
      <c r="O126" s="13"/>
    </row>
    <row r="127" spans="1:15" ht="49.5">
      <c r="A127" s="22">
        <v>149</v>
      </c>
      <c r="B127" s="22">
        <f t="shared" si="2"/>
        <v>114</v>
      </c>
      <c r="C127" s="23" t="s">
        <v>467</v>
      </c>
      <c r="D127" s="146"/>
      <c r="E127" s="23" t="s">
        <v>576</v>
      </c>
      <c r="F127" s="33" t="s">
        <v>63</v>
      </c>
      <c r="G127" s="13" t="s">
        <v>201</v>
      </c>
      <c r="H127" s="13" t="s">
        <v>699</v>
      </c>
      <c r="I127" s="23" t="s">
        <v>37</v>
      </c>
      <c r="J127" s="23" t="s">
        <v>700</v>
      </c>
      <c r="K127" s="23" t="s">
        <v>701</v>
      </c>
      <c r="L127" s="13" t="s">
        <v>202</v>
      </c>
      <c r="M127" s="13" t="s">
        <v>203</v>
      </c>
      <c r="N127" s="13">
        <v>1994</v>
      </c>
      <c r="O127" s="13"/>
    </row>
    <row r="128" spans="1:15" ht="48.75" customHeight="1">
      <c r="A128" s="22">
        <v>152</v>
      </c>
      <c r="B128" s="22">
        <f t="shared" si="2"/>
        <v>115</v>
      </c>
      <c r="C128" s="23" t="s">
        <v>468</v>
      </c>
      <c r="D128" s="23"/>
      <c r="E128" s="23"/>
      <c r="F128" s="33" t="s">
        <v>63</v>
      </c>
      <c r="G128" s="13" t="s">
        <v>400</v>
      </c>
      <c r="H128" s="13"/>
      <c r="I128" s="23" t="s">
        <v>259</v>
      </c>
      <c r="J128" s="23" t="s">
        <v>289</v>
      </c>
      <c r="K128" s="23" t="s">
        <v>398</v>
      </c>
      <c r="L128" s="13">
        <v>823109774</v>
      </c>
      <c r="M128" s="13" t="s">
        <v>399</v>
      </c>
      <c r="N128" s="13"/>
      <c r="O128" s="13"/>
    </row>
    <row r="129" spans="1:15" ht="33">
      <c r="A129" s="22">
        <v>154</v>
      </c>
      <c r="B129" s="22">
        <f t="shared" si="2"/>
        <v>116</v>
      </c>
      <c r="C129" s="23" t="s">
        <v>631</v>
      </c>
      <c r="D129" s="23"/>
      <c r="E129" s="23" t="s">
        <v>576</v>
      </c>
      <c r="F129" s="33" t="s">
        <v>63</v>
      </c>
      <c r="G129" s="13" t="s">
        <v>205</v>
      </c>
      <c r="H129" s="13" t="s">
        <v>204</v>
      </c>
      <c r="I129" s="23" t="s">
        <v>206</v>
      </c>
      <c r="J129" s="23" t="s">
        <v>632</v>
      </c>
      <c r="K129" s="23" t="s">
        <v>207</v>
      </c>
      <c r="L129" s="13" t="s">
        <v>208</v>
      </c>
      <c r="M129" s="14" t="s">
        <v>633</v>
      </c>
      <c r="N129" s="13">
        <v>2019</v>
      </c>
      <c r="O129" s="13"/>
    </row>
    <row r="130" spans="1:15" ht="33">
      <c r="A130" s="22">
        <v>156</v>
      </c>
      <c r="B130" s="22">
        <f t="shared" si="2"/>
        <v>117</v>
      </c>
      <c r="C130" s="23" t="s">
        <v>209</v>
      </c>
      <c r="D130" s="146"/>
      <c r="E130" s="23"/>
      <c r="F130" s="33" t="s">
        <v>122</v>
      </c>
      <c r="G130" s="13" t="s">
        <v>210</v>
      </c>
      <c r="H130" s="13"/>
      <c r="I130" s="23" t="s">
        <v>37</v>
      </c>
      <c r="J130" s="23" t="s">
        <v>25</v>
      </c>
      <c r="K130" s="23" t="s">
        <v>211</v>
      </c>
      <c r="L130" s="13">
        <v>824279410</v>
      </c>
      <c r="M130" s="13" t="s">
        <v>212</v>
      </c>
      <c r="N130" s="13"/>
      <c r="O130" s="13"/>
    </row>
    <row r="131" spans="1:15" ht="16.5">
      <c r="A131" s="22">
        <v>160</v>
      </c>
      <c r="B131" s="22">
        <f t="shared" si="2"/>
        <v>118</v>
      </c>
      <c r="C131" s="23" t="s">
        <v>213</v>
      </c>
      <c r="D131" s="23"/>
      <c r="E131" s="23"/>
      <c r="F131" s="33"/>
      <c r="G131" s="13"/>
      <c r="H131" s="13"/>
      <c r="I131" s="23" t="s">
        <v>214</v>
      </c>
      <c r="J131" s="23" t="s">
        <v>19</v>
      </c>
      <c r="K131" s="23"/>
      <c r="L131" s="13"/>
      <c r="M131" s="13"/>
      <c r="N131" s="13"/>
      <c r="O131" s="13"/>
    </row>
    <row r="132" spans="1:15" ht="64.5" customHeight="1">
      <c r="A132" s="22">
        <v>161</v>
      </c>
      <c r="B132" s="22">
        <f t="shared" si="2"/>
        <v>119</v>
      </c>
      <c r="C132" s="23" t="s">
        <v>215</v>
      </c>
      <c r="D132" s="23"/>
      <c r="E132" s="23" t="s">
        <v>748</v>
      </c>
      <c r="F132" s="33" t="s">
        <v>749</v>
      </c>
      <c r="G132" s="13" t="s">
        <v>750</v>
      </c>
      <c r="H132" s="13"/>
      <c r="I132" s="23" t="s">
        <v>751</v>
      </c>
      <c r="J132" s="23" t="s">
        <v>25</v>
      </c>
      <c r="K132" s="23" t="s">
        <v>435</v>
      </c>
      <c r="L132" s="13">
        <v>820495910</v>
      </c>
      <c r="M132" s="13"/>
      <c r="N132" s="13"/>
      <c r="O132" s="13"/>
    </row>
    <row r="133" spans="1:15" ht="99">
      <c r="A133" s="22">
        <v>162</v>
      </c>
      <c r="B133" s="22">
        <f t="shared" si="2"/>
        <v>120</v>
      </c>
      <c r="C133" s="23" t="s">
        <v>217</v>
      </c>
      <c r="D133" s="23"/>
      <c r="E133" s="23"/>
      <c r="F133" s="33" t="s">
        <v>146</v>
      </c>
      <c r="G133" s="13" t="s">
        <v>216</v>
      </c>
      <c r="H133" s="13"/>
      <c r="I133" s="23" t="s">
        <v>438</v>
      </c>
      <c r="J133" s="23" t="s">
        <v>437</v>
      </c>
      <c r="K133" s="23" t="s">
        <v>435</v>
      </c>
      <c r="L133" s="13" t="s">
        <v>436</v>
      </c>
      <c r="M133" s="13" t="s">
        <v>401</v>
      </c>
      <c r="N133" s="13"/>
      <c r="O133" s="13"/>
    </row>
    <row r="134" spans="1:15" ht="55.5" customHeight="1">
      <c r="A134" s="22">
        <v>164</v>
      </c>
      <c r="B134" s="22">
        <f t="shared" si="2"/>
        <v>121</v>
      </c>
      <c r="C134" s="23" t="s">
        <v>218</v>
      </c>
      <c r="D134" s="23"/>
      <c r="E134" s="23"/>
      <c r="F134" s="33"/>
      <c r="G134" s="13" t="s">
        <v>602</v>
      </c>
      <c r="H134" s="13"/>
      <c r="I134" s="23" t="s">
        <v>603</v>
      </c>
      <c r="J134" s="23" t="s">
        <v>32</v>
      </c>
      <c r="K134" s="23"/>
      <c r="L134" s="13"/>
      <c r="M134" s="13"/>
      <c r="N134" s="13"/>
      <c r="O134" s="13"/>
    </row>
    <row r="135" spans="1:15" ht="45" customHeight="1">
      <c r="A135" s="22">
        <v>165</v>
      </c>
      <c r="B135" s="22">
        <f t="shared" si="2"/>
        <v>122</v>
      </c>
      <c r="C135" s="23" t="s">
        <v>221</v>
      </c>
      <c r="D135" s="23"/>
      <c r="E135" s="23"/>
      <c r="F135" s="33" t="s">
        <v>219</v>
      </c>
      <c r="G135" s="13" t="s">
        <v>220</v>
      </c>
      <c r="H135" s="13"/>
      <c r="I135" s="23" t="s">
        <v>764</v>
      </c>
      <c r="J135" s="23" t="s">
        <v>763</v>
      </c>
      <c r="K135" s="23" t="s">
        <v>765</v>
      </c>
      <c r="L135" s="13" t="s">
        <v>766</v>
      </c>
      <c r="M135" s="13"/>
      <c r="N135" s="13"/>
      <c r="O135" s="13"/>
    </row>
    <row r="136" spans="1:15" ht="33">
      <c r="A136" s="22">
        <v>166</v>
      </c>
      <c r="B136" s="22">
        <f t="shared" si="2"/>
        <v>123</v>
      </c>
      <c r="C136" s="23" t="s">
        <v>222</v>
      </c>
      <c r="D136" s="146"/>
      <c r="E136" s="23" t="s">
        <v>576</v>
      </c>
      <c r="F136" s="33" t="s">
        <v>758</v>
      </c>
      <c r="G136" s="13" t="s">
        <v>403</v>
      </c>
      <c r="H136" s="13"/>
      <c r="I136" s="23" t="s">
        <v>759</v>
      </c>
      <c r="J136" s="23" t="s">
        <v>760</v>
      </c>
      <c r="K136" s="23" t="s">
        <v>439</v>
      </c>
      <c r="L136" s="13" t="s">
        <v>440</v>
      </c>
      <c r="M136" s="13" t="s">
        <v>402</v>
      </c>
      <c r="N136" s="13"/>
      <c r="O136" s="13"/>
    </row>
    <row r="137" spans="1:15" ht="42.75" customHeight="1">
      <c r="A137" s="22">
        <v>168</v>
      </c>
      <c r="B137" s="22">
        <f t="shared" si="2"/>
        <v>124</v>
      </c>
      <c r="C137" s="23" t="s">
        <v>225</v>
      </c>
      <c r="D137" s="23"/>
      <c r="E137" s="23" t="s">
        <v>529</v>
      </c>
      <c r="F137" s="33" t="s">
        <v>223</v>
      </c>
      <c r="G137" s="13" t="s">
        <v>690</v>
      </c>
      <c r="H137" s="13" t="s">
        <v>530</v>
      </c>
      <c r="I137" s="23" t="s">
        <v>691</v>
      </c>
      <c r="J137" s="23" t="s">
        <v>224</v>
      </c>
      <c r="K137" s="23" t="s">
        <v>531</v>
      </c>
      <c r="L137" s="13" t="s">
        <v>532</v>
      </c>
      <c r="M137" s="13" t="s">
        <v>404</v>
      </c>
      <c r="N137" s="13">
        <v>2022</v>
      </c>
      <c r="O137" s="13"/>
    </row>
    <row r="138" spans="1:15" ht="52.5" customHeight="1">
      <c r="A138" s="22">
        <v>169</v>
      </c>
      <c r="B138" s="22">
        <f t="shared" si="2"/>
        <v>125</v>
      </c>
      <c r="C138" s="23" t="s">
        <v>227</v>
      </c>
      <c r="D138" s="146"/>
      <c r="E138" s="26" t="s">
        <v>25</v>
      </c>
      <c r="F138" s="26" t="s">
        <v>63</v>
      </c>
      <c r="G138" s="31" t="s">
        <v>504</v>
      </c>
      <c r="H138" s="13" t="s">
        <v>488</v>
      </c>
      <c r="I138" s="27" t="s">
        <v>505</v>
      </c>
      <c r="J138" s="27" t="s">
        <v>230</v>
      </c>
      <c r="K138" s="26" t="s">
        <v>507</v>
      </c>
      <c r="L138" s="26">
        <v>822355620</v>
      </c>
      <c r="M138" s="18" t="s">
        <v>508</v>
      </c>
      <c r="N138" s="26">
        <v>2020</v>
      </c>
      <c r="O138" s="13"/>
    </row>
    <row r="139" spans="1:15" ht="66">
      <c r="A139" s="22">
        <v>170</v>
      </c>
      <c r="B139" s="22">
        <f t="shared" si="2"/>
        <v>126</v>
      </c>
      <c r="C139" s="23" t="s">
        <v>231</v>
      </c>
      <c r="D139" s="23"/>
      <c r="E139" s="23" t="s">
        <v>703</v>
      </c>
      <c r="F139" s="33" t="s">
        <v>48</v>
      </c>
      <c r="G139" s="128" t="s">
        <v>228</v>
      </c>
      <c r="H139" s="13"/>
      <c r="I139" s="23" t="s">
        <v>229</v>
      </c>
      <c r="J139" s="23" t="s">
        <v>230</v>
      </c>
      <c r="K139" s="23" t="s">
        <v>479</v>
      </c>
      <c r="L139" s="45" t="s">
        <v>480</v>
      </c>
      <c r="M139" s="13" t="s">
        <v>478</v>
      </c>
      <c r="N139" s="13"/>
      <c r="O139" s="13"/>
    </row>
    <row r="140" spans="1:15" ht="33">
      <c r="A140" s="22">
        <v>171</v>
      </c>
      <c r="B140" s="22">
        <f t="shared" si="2"/>
        <v>127</v>
      </c>
      <c r="C140" s="23" t="s">
        <v>232</v>
      </c>
      <c r="D140" s="23"/>
      <c r="E140" s="23" t="s">
        <v>25</v>
      </c>
      <c r="F140" s="33" t="s">
        <v>35</v>
      </c>
      <c r="G140" s="13" t="s">
        <v>570</v>
      </c>
      <c r="H140" s="13" t="s">
        <v>488</v>
      </c>
      <c r="I140" s="23" t="s">
        <v>729</v>
      </c>
      <c r="J140" s="23" t="s">
        <v>763</v>
      </c>
      <c r="K140" s="23" t="s">
        <v>571</v>
      </c>
      <c r="L140" s="13" t="s">
        <v>572</v>
      </c>
      <c r="M140" s="13"/>
      <c r="N140" s="13">
        <v>2012</v>
      </c>
      <c r="O140" s="13"/>
    </row>
    <row r="141" spans="1:15" ht="106.5" customHeight="1">
      <c r="A141" s="22">
        <v>172</v>
      </c>
      <c r="B141" s="22">
        <f t="shared" si="2"/>
        <v>128</v>
      </c>
      <c r="C141" s="23" t="s">
        <v>233</v>
      </c>
      <c r="D141" s="146"/>
      <c r="E141" s="23" t="s">
        <v>740</v>
      </c>
      <c r="F141" s="33" t="s">
        <v>35</v>
      </c>
      <c r="G141" s="13" t="s">
        <v>22</v>
      </c>
      <c r="H141" s="13"/>
      <c r="I141" s="23" t="s">
        <v>22</v>
      </c>
      <c r="J141" s="23" t="s">
        <v>741</v>
      </c>
      <c r="K141" s="23"/>
      <c r="L141" s="13"/>
      <c r="M141" s="13"/>
      <c r="N141" s="13"/>
      <c r="O141" s="13"/>
    </row>
    <row r="142" spans="1:15" ht="115.5">
      <c r="A142" s="22">
        <v>173</v>
      </c>
      <c r="B142" s="22">
        <f t="shared" si="2"/>
        <v>129</v>
      </c>
      <c r="C142" s="23" t="s">
        <v>237</v>
      </c>
      <c r="D142" s="23"/>
      <c r="E142" s="23" t="s">
        <v>234</v>
      </c>
      <c r="F142" s="33" t="s">
        <v>146</v>
      </c>
      <c r="G142" s="13" t="s">
        <v>235</v>
      </c>
      <c r="H142" s="13"/>
      <c r="I142" s="23" t="s">
        <v>102</v>
      </c>
      <c r="J142" s="23" t="s">
        <v>258</v>
      </c>
      <c r="K142" s="23" t="s">
        <v>236</v>
      </c>
      <c r="L142" s="13" t="s">
        <v>256</v>
      </c>
      <c r="M142" s="13" t="s">
        <v>257</v>
      </c>
      <c r="N142" s="13"/>
      <c r="O142" s="13"/>
    </row>
    <row r="143" spans="1:15" ht="16.5">
      <c r="A143" s="22">
        <v>174</v>
      </c>
      <c r="B143" s="22">
        <f t="shared" si="2"/>
        <v>130</v>
      </c>
      <c r="C143" s="23" t="s">
        <v>238</v>
      </c>
      <c r="D143" s="146"/>
      <c r="E143" s="23"/>
      <c r="F143" s="33"/>
      <c r="G143" s="13"/>
      <c r="H143" s="13"/>
      <c r="I143" s="23"/>
      <c r="J143" s="23" t="s">
        <v>21</v>
      </c>
      <c r="K143" s="23"/>
      <c r="L143" s="13"/>
      <c r="M143" s="13"/>
      <c r="N143" s="13"/>
      <c r="O143" s="13"/>
    </row>
    <row r="144" spans="1:15" ht="33">
      <c r="A144" s="22">
        <v>175</v>
      </c>
      <c r="B144" s="22">
        <f t="shared" si="2"/>
        <v>131</v>
      </c>
      <c r="C144" s="23" t="s">
        <v>239</v>
      </c>
      <c r="D144" s="23"/>
      <c r="E144" s="23" t="s">
        <v>25</v>
      </c>
      <c r="F144" s="33" t="s">
        <v>272</v>
      </c>
      <c r="G144" s="13" t="s">
        <v>407</v>
      </c>
      <c r="H144" s="13" t="s">
        <v>654</v>
      </c>
      <c r="I144" s="23" t="s">
        <v>655</v>
      </c>
      <c r="J144" s="23" t="s">
        <v>52</v>
      </c>
      <c r="K144" s="23" t="s">
        <v>405</v>
      </c>
      <c r="L144" s="13" t="s">
        <v>656</v>
      </c>
      <c r="M144" s="13" t="s">
        <v>406</v>
      </c>
      <c r="N144" s="13">
        <v>2014</v>
      </c>
      <c r="O144" s="13"/>
    </row>
    <row r="145" spans="1:15" ht="16.5">
      <c r="A145" s="22">
        <v>176</v>
      </c>
      <c r="B145" s="22">
        <f t="shared" si="2"/>
        <v>132</v>
      </c>
      <c r="C145" s="23" t="s">
        <v>240</v>
      </c>
      <c r="D145" s="23"/>
      <c r="E145" s="23"/>
      <c r="F145" s="33"/>
      <c r="G145" s="13"/>
      <c r="H145" s="13"/>
      <c r="I145" s="23" t="s">
        <v>22</v>
      </c>
      <c r="J145" s="23" t="s">
        <v>25</v>
      </c>
      <c r="K145" s="23"/>
      <c r="L145" s="13"/>
      <c r="M145" s="13"/>
      <c r="N145" s="13"/>
      <c r="O145" s="13"/>
    </row>
    <row r="146" spans="1:15" ht="49.5">
      <c r="A146" s="22">
        <v>177</v>
      </c>
      <c r="B146" s="22">
        <f t="shared" si="2"/>
        <v>133</v>
      </c>
      <c r="C146" s="23" t="s">
        <v>408</v>
      </c>
      <c r="D146" s="23"/>
      <c r="E146" s="23" t="s">
        <v>698</v>
      </c>
      <c r="F146" s="33" t="s">
        <v>63</v>
      </c>
      <c r="G146" s="13" t="s">
        <v>241</v>
      </c>
      <c r="H146" s="13"/>
      <c r="I146" s="23" t="s">
        <v>28</v>
      </c>
      <c r="J146" s="23"/>
      <c r="K146" s="23"/>
      <c r="L146" s="13"/>
      <c r="M146" s="13"/>
      <c r="N146" s="13"/>
      <c r="O146" s="13"/>
    </row>
    <row r="147" spans="1:15" ht="49.5">
      <c r="A147" s="22">
        <v>180</v>
      </c>
      <c r="B147" s="22">
        <f t="shared" si="2"/>
        <v>134</v>
      </c>
      <c r="C147" s="23" t="s">
        <v>242</v>
      </c>
      <c r="D147" s="146"/>
      <c r="E147" s="23"/>
      <c r="F147" s="33" t="s">
        <v>409</v>
      </c>
      <c r="G147" s="13" t="s">
        <v>442</v>
      </c>
      <c r="H147" s="13"/>
      <c r="I147" s="23" t="s">
        <v>410</v>
      </c>
      <c r="J147" s="23" t="s">
        <v>289</v>
      </c>
      <c r="K147" s="23"/>
      <c r="L147" s="13"/>
      <c r="M147" s="13"/>
      <c r="N147" s="13"/>
      <c r="O147" s="13"/>
    </row>
    <row r="148" spans="1:15" ht="49.5">
      <c r="A148" s="22">
        <v>181</v>
      </c>
      <c r="B148" s="22">
        <f t="shared" si="2"/>
        <v>135</v>
      </c>
      <c r="C148" s="23" t="s">
        <v>244</v>
      </c>
      <c r="D148" s="23"/>
      <c r="E148" s="23" t="s">
        <v>576</v>
      </c>
      <c r="F148" s="33" t="s">
        <v>959</v>
      </c>
      <c r="G148" s="13" t="s">
        <v>263</v>
      </c>
      <c r="H148" s="23" t="s">
        <v>638</v>
      </c>
      <c r="I148" s="23" t="s">
        <v>639</v>
      </c>
      <c r="J148" s="23" t="s">
        <v>662</v>
      </c>
      <c r="K148" s="23" t="s">
        <v>640</v>
      </c>
      <c r="L148" s="23">
        <v>844489385</v>
      </c>
      <c r="M148" s="13"/>
      <c r="N148" s="13">
        <v>2021</v>
      </c>
      <c r="O148" s="13"/>
    </row>
    <row r="149" spans="1:15" ht="33">
      <c r="A149" s="22">
        <v>182</v>
      </c>
      <c r="B149" s="22">
        <f t="shared" si="2"/>
        <v>136</v>
      </c>
      <c r="C149" s="23" t="s">
        <v>588</v>
      </c>
      <c r="D149" s="23"/>
      <c r="E149" s="23" t="s">
        <v>712</v>
      </c>
      <c r="F149" s="33" t="s">
        <v>63</v>
      </c>
      <c r="G149" s="13" t="s">
        <v>589</v>
      </c>
      <c r="H149" s="13" t="s">
        <v>590</v>
      </c>
      <c r="I149" s="23" t="s">
        <v>713</v>
      </c>
      <c r="J149" s="23" t="s">
        <v>284</v>
      </c>
      <c r="K149" s="23" t="s">
        <v>591</v>
      </c>
      <c r="L149" s="13">
        <v>864320561</v>
      </c>
      <c r="M149" s="13" t="s">
        <v>592</v>
      </c>
      <c r="N149" s="13">
        <v>2022</v>
      </c>
      <c r="O149" s="13"/>
    </row>
    <row r="150" spans="1:15" ht="33" customHeight="1">
      <c r="A150" s="22">
        <v>183</v>
      </c>
      <c r="B150" s="22">
        <f t="shared" si="2"/>
        <v>137</v>
      </c>
      <c r="C150" s="23" t="s">
        <v>250</v>
      </c>
      <c r="D150" s="23"/>
      <c r="E150" s="23"/>
      <c r="F150" s="33" t="s">
        <v>63</v>
      </c>
      <c r="G150" s="13" t="s">
        <v>245</v>
      </c>
      <c r="H150" s="13"/>
      <c r="I150" s="23" t="s">
        <v>37</v>
      </c>
      <c r="J150" s="23" t="s">
        <v>246</v>
      </c>
      <c r="K150" s="23" t="s">
        <v>247</v>
      </c>
      <c r="L150" s="23" t="s">
        <v>248</v>
      </c>
      <c r="M150" s="13" t="s">
        <v>249</v>
      </c>
      <c r="N150" s="13"/>
      <c r="O150" s="13"/>
    </row>
    <row r="151" spans="1:15" ht="16.5">
      <c r="A151" s="22">
        <v>184</v>
      </c>
      <c r="B151" s="22">
        <f t="shared" si="2"/>
        <v>138</v>
      </c>
      <c r="C151" s="23" t="s">
        <v>411</v>
      </c>
      <c r="D151" s="23"/>
      <c r="E151" s="23"/>
      <c r="F151" s="33"/>
      <c r="G151" s="13"/>
      <c r="H151" s="13"/>
      <c r="I151" s="23" t="s">
        <v>22</v>
      </c>
      <c r="J151" s="23" t="s">
        <v>25</v>
      </c>
      <c r="K151" s="23"/>
      <c r="L151" s="23"/>
      <c r="M151" s="13"/>
      <c r="N151" s="13"/>
      <c r="O151" s="13"/>
    </row>
    <row r="152" spans="1:15" ht="50.25" thickBot="1">
      <c r="A152" s="46"/>
      <c r="B152" s="22">
        <f t="shared" si="2"/>
        <v>139</v>
      </c>
      <c r="C152" s="23" t="s">
        <v>251</v>
      </c>
      <c r="D152" s="23"/>
      <c r="E152" s="124"/>
      <c r="F152" s="33" t="s">
        <v>63</v>
      </c>
      <c r="G152" s="13" t="s">
        <v>416</v>
      </c>
      <c r="H152" s="13"/>
      <c r="I152" s="23" t="s">
        <v>415</v>
      </c>
      <c r="J152" s="23" t="s">
        <v>417</v>
      </c>
      <c r="K152" s="23" t="s">
        <v>412</v>
      </c>
      <c r="L152" s="23" t="s">
        <v>413</v>
      </c>
      <c r="M152" s="13" t="s">
        <v>414</v>
      </c>
      <c r="N152" s="139"/>
      <c r="O152" s="13"/>
    </row>
    <row r="153" spans="1:15" ht="33" customHeight="1">
      <c r="A153" s="46"/>
      <c r="B153" s="22">
        <f t="shared" si="2"/>
        <v>140</v>
      </c>
      <c r="C153" s="23" t="s">
        <v>458</v>
      </c>
      <c r="D153" s="23"/>
      <c r="E153" s="23"/>
      <c r="F153" s="33" t="s">
        <v>63</v>
      </c>
      <c r="G153" s="13" t="s">
        <v>252</v>
      </c>
      <c r="H153" s="13"/>
      <c r="I153" s="23" t="s">
        <v>252</v>
      </c>
      <c r="J153" s="23" t="s">
        <v>158</v>
      </c>
      <c r="K153" s="23" t="s">
        <v>587</v>
      </c>
      <c r="L153" s="23">
        <v>865252526</v>
      </c>
      <c r="M153" s="13"/>
      <c r="N153" s="13"/>
      <c r="O153" s="13"/>
    </row>
    <row r="154" spans="1:15" ht="33" customHeight="1">
      <c r="A154" s="46"/>
      <c r="B154" s="22"/>
      <c r="C154" s="23"/>
      <c r="D154" s="23"/>
      <c r="E154" s="23"/>
      <c r="F154" s="33"/>
      <c r="G154" s="13"/>
      <c r="H154" s="13"/>
      <c r="I154" s="23"/>
      <c r="J154" s="23"/>
      <c r="K154" s="23"/>
      <c r="L154" s="23"/>
      <c r="M154" s="13"/>
      <c r="N154" s="13"/>
      <c r="O154" s="13"/>
    </row>
    <row r="155" spans="1:15" ht="82.5">
      <c r="A155" s="47"/>
      <c r="B155" s="22">
        <f>+B153+1</f>
        <v>141</v>
      </c>
      <c r="C155" s="23" t="s">
        <v>255</v>
      </c>
      <c r="D155" s="23"/>
      <c r="E155" s="123" t="s">
        <v>576</v>
      </c>
      <c r="F155" s="33" t="s">
        <v>611</v>
      </c>
      <c r="G155" s="13" t="s">
        <v>253</v>
      </c>
      <c r="H155" s="13" t="s">
        <v>577</v>
      </c>
      <c r="I155" s="23" t="s">
        <v>254</v>
      </c>
      <c r="J155" s="13" t="s">
        <v>612</v>
      </c>
      <c r="K155" s="13" t="s">
        <v>609</v>
      </c>
      <c r="L155" s="13" t="s">
        <v>610</v>
      </c>
      <c r="M155" s="13" t="s">
        <v>578</v>
      </c>
      <c r="N155" s="44">
        <v>2021</v>
      </c>
      <c r="O155" s="13"/>
    </row>
    <row r="156" spans="1:15" ht="82.5">
      <c r="A156" s="47"/>
      <c r="B156" s="22">
        <f t="shared" si="2"/>
        <v>142</v>
      </c>
      <c r="C156" s="23" t="s">
        <v>790</v>
      </c>
      <c r="D156" s="23"/>
      <c r="E156" s="23" t="s">
        <v>663</v>
      </c>
      <c r="F156" s="33" t="s">
        <v>219</v>
      </c>
      <c r="G156" s="13" t="s">
        <v>665</v>
      </c>
      <c r="H156" s="13" t="s">
        <v>666</v>
      </c>
      <c r="I156" s="23" t="s">
        <v>664</v>
      </c>
      <c r="J156" s="23" t="s">
        <v>652</v>
      </c>
      <c r="K156" s="23"/>
      <c r="L156" s="13"/>
      <c r="M156" s="13"/>
      <c r="N156" s="13">
        <v>2021</v>
      </c>
      <c r="O156" s="13"/>
    </row>
    <row r="157" spans="1:15" ht="16.5">
      <c r="A157" s="47"/>
      <c r="B157" s="47"/>
      <c r="E157" s="49"/>
      <c r="F157" s="118"/>
      <c r="G157" s="20"/>
      <c r="H157" s="20"/>
      <c r="I157" s="49"/>
      <c r="J157" s="49"/>
      <c r="K157" s="49"/>
      <c r="L157" s="20"/>
      <c r="M157" s="20"/>
      <c r="N157" s="20"/>
      <c r="O157" s="20"/>
    </row>
    <row r="158" spans="1:15">
      <c r="E158" s="113"/>
      <c r="F158" s="113"/>
      <c r="G158" s="10"/>
      <c r="H158" s="10"/>
      <c r="I158" s="112" t="s">
        <v>985</v>
      </c>
      <c r="J158" s="10"/>
      <c r="K158" s="10"/>
      <c r="L158" s="10"/>
      <c r="M158" s="10"/>
      <c r="N158" s="10"/>
      <c r="O158" s="10"/>
    </row>
    <row r="159" spans="1:15">
      <c r="E159" s="111"/>
      <c r="F159" s="113"/>
      <c r="G159" s="7"/>
      <c r="H159" s="7"/>
      <c r="I159" s="111"/>
      <c r="J159" s="7"/>
      <c r="K159" s="7"/>
      <c r="L159" s="7"/>
    </row>
    <row r="160" spans="1:15">
      <c r="E160" s="113"/>
      <c r="F160" s="113"/>
      <c r="G160" s="10"/>
      <c r="H160" s="10"/>
      <c r="I160" s="113" t="s">
        <v>960</v>
      </c>
      <c r="J160" s="10"/>
      <c r="K160" s="10"/>
      <c r="L160" s="10"/>
      <c r="M160" s="10"/>
      <c r="N160" s="10"/>
      <c r="O160" s="10"/>
    </row>
    <row r="161" spans="3:15">
      <c r="E161" s="113"/>
      <c r="F161" s="113"/>
      <c r="G161" s="10"/>
      <c r="H161" s="10"/>
      <c r="I161" s="113"/>
      <c r="J161" s="10"/>
      <c r="K161" s="10"/>
      <c r="L161" s="10"/>
    </row>
    <row r="162" spans="3:15">
      <c r="E162" s="113"/>
      <c r="F162" s="113"/>
      <c r="G162" s="10"/>
      <c r="H162" s="10"/>
      <c r="I162" s="114" t="s">
        <v>482</v>
      </c>
      <c r="J162" s="10"/>
      <c r="K162" s="10"/>
      <c r="L162" s="10"/>
      <c r="M162" s="10"/>
      <c r="N162" s="10"/>
      <c r="O162" s="10"/>
    </row>
    <row r="163" spans="3:15">
      <c r="C163" s="111"/>
      <c r="D163" s="111"/>
      <c r="E163" s="113"/>
      <c r="F163" s="113"/>
      <c r="G163" s="10"/>
      <c r="H163" s="10"/>
      <c r="I163" s="113" t="s">
        <v>483</v>
      </c>
      <c r="J163" s="10"/>
      <c r="K163" s="10"/>
      <c r="L163" s="10"/>
      <c r="M163" s="10"/>
      <c r="N163" s="10"/>
      <c r="O163" s="10"/>
    </row>
    <row r="164" spans="3:15">
      <c r="C164" s="111"/>
      <c r="D164" s="111"/>
      <c r="I164" s="6"/>
      <c r="J164" s="1"/>
      <c r="K164" s="1"/>
    </row>
    <row r="165" spans="3:15">
      <c r="I165" s="6"/>
      <c r="J165" s="1"/>
      <c r="K165" s="1"/>
    </row>
  </sheetData>
  <sortState ref="C14:N155">
    <sortCondition ref="C14"/>
  </sortState>
  <mergeCells count="24">
    <mergeCell ref="E12:E13"/>
    <mergeCell ref="K12:K13"/>
    <mergeCell ref="L12:M12"/>
    <mergeCell ref="F12:F13"/>
    <mergeCell ref="G12:G13"/>
    <mergeCell ref="H12:H13"/>
    <mergeCell ref="I12:I13"/>
    <mergeCell ref="J12:J13"/>
    <mergeCell ref="D12:D13"/>
    <mergeCell ref="N12:N13"/>
    <mergeCell ref="A7:O7"/>
    <mergeCell ref="A2:O2"/>
    <mergeCell ref="A3:O3"/>
    <mergeCell ref="A4:O4"/>
    <mergeCell ref="A5:O5"/>
    <mergeCell ref="A6:O6"/>
    <mergeCell ref="B12:B13"/>
    <mergeCell ref="O12:O13"/>
    <mergeCell ref="A8:O8"/>
    <mergeCell ref="A9:O9"/>
    <mergeCell ref="A10:O10"/>
    <mergeCell ref="A11:O11"/>
    <mergeCell ref="A12:A13"/>
    <mergeCell ref="C12:C13"/>
  </mergeCells>
  <hyperlinks>
    <hyperlink ref="M130" r:id="rId1"/>
    <hyperlink ref="M26" r:id="rId2"/>
    <hyperlink ref="M150" r:id="rId3"/>
    <hyperlink ref="M127" r:id="rId4"/>
    <hyperlink ref="M50" r:id="rId5"/>
    <hyperlink ref="M36" r:id="rId6"/>
    <hyperlink ref="M33" r:id="rId7" display="albertovasco1993@gmail.com/ "/>
    <hyperlink ref="M117" r:id="rId8"/>
    <hyperlink ref="M66" r:id="rId9"/>
    <hyperlink ref="M37" r:id="rId10"/>
    <hyperlink ref="M81" r:id="rId11"/>
    <hyperlink ref="M24" r:id="rId12"/>
    <hyperlink ref="M112" r:id="rId13"/>
    <hyperlink ref="M93" r:id="rId14"/>
    <hyperlink ref="M40" r:id="rId15"/>
    <hyperlink ref="M73" r:id="rId16"/>
    <hyperlink ref="M105" r:id="rId17" display="mcunhaque@jhuccp.org.mz"/>
    <hyperlink ref="M38" r:id="rId18"/>
    <hyperlink ref="M94" r:id="rId19" display="jan.rietz@horizont3000.org/lydia.kummer@horizont3000.org"/>
    <hyperlink ref="M137" r:id="rId20"/>
    <hyperlink ref="M115" r:id="rId21"/>
    <hyperlink ref="M21" r:id="rId22"/>
    <hyperlink ref="M102" r:id="rId23"/>
    <hyperlink ref="M144" r:id="rId24"/>
    <hyperlink ref="M152" r:id="rId25" display="christina_stellini@worlded.org/ bantwana.org"/>
    <hyperlink ref="M88" r:id="rId26"/>
    <hyperlink ref="M136" r:id="rId27" display="ochauque@snvworld.org/oraciopedrochauque@gmail.com"/>
    <hyperlink ref="M19" r:id="rId28"/>
    <hyperlink ref="M98" r:id="rId29"/>
    <hyperlink ref="M51" r:id="rId30"/>
    <hyperlink ref="M78" r:id="rId31"/>
    <hyperlink ref="M30" r:id="rId32"/>
    <hyperlink ref="M113" r:id="rId33"/>
    <hyperlink ref="M108" r:id="rId34"/>
    <hyperlink ref="M92" r:id="rId35" display="ccs.sofala@gmail.com"/>
    <hyperlink ref="M58" r:id="rId36"/>
    <hyperlink ref="M110" r:id="rId37"/>
    <hyperlink ref="M133" r:id="rId38"/>
    <hyperlink ref="M69" r:id="rId39"/>
    <hyperlink ref="M95" r:id="rId40"/>
    <hyperlink ref="M128" r:id="rId41"/>
    <hyperlink ref="M28" r:id="rId42"/>
    <hyperlink ref="M89" r:id="rId43" display="cathy.michel@healthallianceinternational.org"/>
    <hyperlink ref="M75" r:id="rId44" display="rodrigo.dereyes@gmail.com"/>
    <hyperlink ref="M142" r:id="rId45" display="mailto:edgar.jone@tearfund.org"/>
    <hyperlink ref="M27" r:id="rId46"/>
    <hyperlink ref="M34" r:id="rId47" display="elsamutemba@ccsaude.org.mz"/>
    <hyperlink ref="M46" r:id="rId48"/>
    <hyperlink ref="M68" r:id="rId49" display="patricedga@gmail.com"/>
    <hyperlink ref="M42" r:id="rId50"/>
    <hyperlink ref="M96" r:id="rId51"/>
    <hyperlink ref="M120" r:id="rId52"/>
    <hyperlink ref="M48" r:id="rId53"/>
    <hyperlink ref="M17" r:id="rId54"/>
    <hyperlink ref="M43" r:id="rId55"/>
    <hyperlink ref="M47" r:id="rId56"/>
    <hyperlink ref="M122" r:id="rId57" display="ldacambane@ifpimozambique.org/ "/>
    <hyperlink ref="M149" r:id="rId58"/>
    <hyperlink ref="M129" r:id="rId59"/>
    <hyperlink ref="M101" r:id="rId60"/>
    <hyperlink ref="M60" r:id="rId61"/>
    <hyperlink ref="M125" r:id="rId62" display="jchabuca@pircom.org.mz"/>
    <hyperlink ref="M79" r:id="rId63"/>
    <hyperlink ref="M64" r:id="rId64"/>
    <hyperlink ref="M25" r:id="rId65"/>
    <hyperlink ref="M123" r:id="rId66"/>
  </hyperlinks>
  <pageMargins left="0.7" right="0.7" top="0.75" bottom="0.75" header="0.3" footer="0.3"/>
  <pageSetup paperSize="9" scale="40" orientation="landscape" r:id="rId67"/>
  <drawing r:id="rId68"/>
  <legacyDrawing r:id="rId69"/>
  <oleObjects>
    <mc:AlternateContent xmlns:mc="http://schemas.openxmlformats.org/markup-compatibility/2006">
      <mc:Choice Requires="x14">
        <oleObject shapeId="1025" r:id="rId70">
          <objectPr defaultSize="0" autoPict="0" r:id="rId71">
            <anchor moveWithCells="1" sizeWithCells="1">
              <from>
                <xdr:col>6</xdr:col>
                <xdr:colOff>14744700</xdr:colOff>
                <xdr:row>0</xdr:row>
                <xdr:rowOff>66675</xdr:rowOff>
              </from>
              <to>
                <xdr:col>6</xdr:col>
                <xdr:colOff>15754350</xdr:colOff>
                <xdr:row>3</xdr:row>
                <xdr:rowOff>180975</xdr:rowOff>
              </to>
            </anchor>
          </objectPr>
        </oleObject>
      </mc:Choice>
      <mc:Fallback>
        <oleObject shapeId="1025" r:id="rId70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109"/>
  <sheetViews>
    <sheetView showRowColHeaders="0" tabSelected="1" view="pageBreakPreview" topLeftCell="A4" zoomScale="90" zoomScaleNormal="100" zoomScaleSheetLayoutView="90" workbookViewId="0">
      <pane ySplit="10" topLeftCell="A95" activePane="bottomLeft" state="frozen"/>
      <selection activeCell="A4" sqref="A4"/>
      <selection pane="bottomLeft" activeCell="A107" sqref="A107:L107"/>
    </sheetView>
  </sheetViews>
  <sheetFormatPr defaultRowHeight="15"/>
  <cols>
    <col min="1" max="1" width="6" customWidth="1"/>
    <col min="2" max="2" width="34.85546875" customWidth="1"/>
    <col min="3" max="3" width="18.5703125" customWidth="1"/>
    <col min="4" max="4" width="21" customWidth="1"/>
    <col min="5" max="5" width="26.140625" customWidth="1"/>
    <col min="6" max="6" width="24.42578125" customWidth="1"/>
    <col min="7" max="7" width="20.140625" customWidth="1"/>
    <col min="8" max="8" width="20.5703125" customWidth="1"/>
    <col min="9" max="9" width="11.140625" customWidth="1"/>
    <col min="10" max="11" width="14.7109375" customWidth="1"/>
    <col min="12" max="12" width="17.140625" customWidth="1"/>
  </cols>
  <sheetData>
    <row r="3" spans="1:12">
      <c r="A3" s="254"/>
      <c r="B3" s="254"/>
      <c r="C3" s="254"/>
      <c r="D3" s="254"/>
      <c r="E3" s="254"/>
    </row>
    <row r="4" spans="1:12" ht="15.75">
      <c r="A4" s="255" t="s">
        <v>0</v>
      </c>
      <c r="B4" s="255"/>
      <c r="C4" s="255"/>
      <c r="D4" s="255"/>
      <c r="E4" s="255"/>
      <c r="F4" s="255"/>
      <c r="G4" s="255"/>
      <c r="H4" s="255"/>
      <c r="I4" s="255"/>
      <c r="J4" s="255"/>
      <c r="K4" s="255"/>
      <c r="L4" s="255"/>
    </row>
    <row r="5" spans="1:12" ht="15.75">
      <c r="A5" s="255" t="s">
        <v>1</v>
      </c>
      <c r="B5" s="255"/>
      <c r="C5" s="255"/>
      <c r="D5" s="255"/>
      <c r="E5" s="255"/>
      <c r="F5" s="255"/>
      <c r="G5" s="255"/>
      <c r="H5" s="255"/>
      <c r="I5" s="255"/>
      <c r="J5" s="255"/>
      <c r="K5" s="255"/>
      <c r="L5" s="255"/>
    </row>
    <row r="6" spans="1:12" ht="15.75">
      <c r="A6" s="255" t="s">
        <v>2</v>
      </c>
      <c r="B6" s="255"/>
      <c r="C6" s="255"/>
      <c r="D6" s="255"/>
      <c r="E6" s="255"/>
      <c r="F6" s="255"/>
      <c r="G6" s="255"/>
      <c r="H6" s="255"/>
      <c r="I6" s="255"/>
      <c r="J6" s="255"/>
      <c r="K6" s="255"/>
      <c r="L6" s="255"/>
    </row>
    <row r="7" spans="1:12" ht="15.75">
      <c r="A7" s="239" t="s">
        <v>3</v>
      </c>
      <c r="B7" s="239"/>
      <c r="C7" s="239"/>
      <c r="D7" s="239"/>
      <c r="E7" s="239"/>
      <c r="F7" s="239"/>
      <c r="G7" s="239"/>
      <c r="H7" s="239"/>
      <c r="I7" s="239"/>
      <c r="J7" s="239"/>
      <c r="K7" s="239"/>
      <c r="L7" s="239"/>
    </row>
    <row r="8" spans="1:12" ht="15.75">
      <c r="A8" s="177"/>
      <c r="B8" s="177"/>
      <c r="C8" s="177"/>
      <c r="D8" s="177"/>
      <c r="E8" s="177"/>
    </row>
    <row r="9" spans="1:12" ht="15.75">
      <c r="A9" s="177"/>
      <c r="B9" s="177"/>
      <c r="C9" s="177"/>
      <c r="D9" s="177"/>
      <c r="E9" s="177"/>
    </row>
    <row r="10" spans="1:12" ht="15.75">
      <c r="A10" s="239" t="s">
        <v>1236</v>
      </c>
      <c r="B10" s="239"/>
      <c r="C10" s="239"/>
      <c r="D10" s="239"/>
      <c r="E10" s="239"/>
      <c r="F10" s="239"/>
      <c r="G10" s="239"/>
      <c r="H10" s="239"/>
      <c r="I10" s="239"/>
      <c r="J10" s="239"/>
      <c r="K10" s="239"/>
      <c r="L10" s="239"/>
    </row>
    <row r="11" spans="1:12" ht="15.75" thickBot="1">
      <c r="F11" s="147"/>
      <c r="G11" s="147"/>
      <c r="H11" s="147"/>
    </row>
    <row r="12" spans="1:12" ht="17.25" customHeight="1">
      <c r="A12" s="240" t="s">
        <v>986</v>
      </c>
      <c r="B12" s="246" t="s">
        <v>987</v>
      </c>
      <c r="C12" s="246" t="s">
        <v>7</v>
      </c>
      <c r="D12" s="244" t="s">
        <v>9</v>
      </c>
      <c r="E12" s="244" t="s">
        <v>988</v>
      </c>
      <c r="F12" s="242" t="s">
        <v>1065</v>
      </c>
      <c r="G12" s="242" t="s">
        <v>1220</v>
      </c>
      <c r="H12" s="248" t="s">
        <v>12</v>
      </c>
      <c r="I12" s="252" t="s">
        <v>13</v>
      </c>
      <c r="J12" s="253"/>
      <c r="K12" s="248" t="s">
        <v>6</v>
      </c>
      <c r="L12" s="250" t="s">
        <v>1181</v>
      </c>
    </row>
    <row r="13" spans="1:12" ht="15.75" customHeight="1">
      <c r="A13" s="241"/>
      <c r="B13" s="247"/>
      <c r="C13" s="247"/>
      <c r="D13" s="245"/>
      <c r="E13" s="245"/>
      <c r="F13" s="243"/>
      <c r="G13" s="243"/>
      <c r="H13" s="249"/>
      <c r="I13" s="178" t="s">
        <v>16</v>
      </c>
      <c r="J13" s="178" t="s">
        <v>17</v>
      </c>
      <c r="K13" s="249"/>
      <c r="L13" s="251"/>
    </row>
    <row r="14" spans="1:12" ht="21.75" customHeight="1">
      <c r="A14" s="196">
        <v>1</v>
      </c>
      <c r="B14" s="13" t="s">
        <v>26</v>
      </c>
      <c r="C14" s="162" t="s">
        <v>1144</v>
      </c>
      <c r="D14" s="162"/>
      <c r="E14" s="162" t="s">
        <v>28</v>
      </c>
      <c r="F14" s="152" t="s">
        <v>455</v>
      </c>
      <c r="G14" s="152"/>
      <c r="H14" s="151" t="s">
        <v>266</v>
      </c>
      <c r="I14" s="39" t="s">
        <v>264</v>
      </c>
      <c r="J14" s="151" t="s">
        <v>265</v>
      </c>
      <c r="K14" s="151"/>
      <c r="L14" s="179"/>
    </row>
    <row r="15" spans="1:12" ht="42.75" customHeight="1">
      <c r="A15" s="196">
        <v>2</v>
      </c>
      <c r="B15" s="13" t="s">
        <v>1280</v>
      </c>
      <c r="C15" s="162" t="s">
        <v>1281</v>
      </c>
      <c r="D15" s="162"/>
      <c r="E15" s="162" t="s">
        <v>28</v>
      </c>
      <c r="F15" s="152"/>
      <c r="G15" s="152"/>
      <c r="H15" s="151"/>
      <c r="I15" s="39"/>
      <c r="J15" s="151"/>
      <c r="K15" s="151" t="s">
        <v>1282</v>
      </c>
      <c r="L15" s="179"/>
    </row>
    <row r="16" spans="1:12" ht="26.25">
      <c r="A16" s="214">
        <v>3</v>
      </c>
      <c r="B16" s="162" t="s">
        <v>1041</v>
      </c>
      <c r="C16" s="162" t="s">
        <v>1145</v>
      </c>
      <c r="D16" s="162"/>
      <c r="E16" s="162" t="s">
        <v>28</v>
      </c>
      <c r="F16" s="152" t="s">
        <v>47</v>
      </c>
      <c r="G16" s="152"/>
      <c r="H16" s="152"/>
      <c r="I16" s="150"/>
      <c r="J16" s="150"/>
      <c r="K16" s="150"/>
      <c r="L16" s="179"/>
    </row>
    <row r="17" spans="1:12" ht="38.25">
      <c r="A17" s="214">
        <v>4</v>
      </c>
      <c r="B17" s="162" t="s">
        <v>1051</v>
      </c>
      <c r="C17" s="162"/>
      <c r="D17" s="162"/>
      <c r="E17" s="162" t="s">
        <v>37</v>
      </c>
      <c r="F17" s="152" t="s">
        <v>38</v>
      </c>
      <c r="G17" s="152"/>
      <c r="H17" s="39" t="s">
        <v>1196</v>
      </c>
      <c r="I17" s="151" t="s">
        <v>1197</v>
      </c>
      <c r="J17" s="151" t="s">
        <v>40</v>
      </c>
      <c r="K17" s="172" t="s">
        <v>34</v>
      </c>
      <c r="L17" s="180"/>
    </row>
    <row r="18" spans="1:12" ht="15.75">
      <c r="A18" s="214">
        <v>5</v>
      </c>
      <c r="B18" s="162" t="s">
        <v>1139</v>
      </c>
      <c r="C18" s="162" t="s">
        <v>63</v>
      </c>
      <c r="D18" s="162"/>
      <c r="E18" s="162" t="s">
        <v>1146</v>
      </c>
      <c r="F18" s="150" t="s">
        <v>1140</v>
      </c>
      <c r="G18" s="175">
        <v>2024</v>
      </c>
      <c r="H18" s="150"/>
      <c r="I18" s="150"/>
      <c r="J18" s="150"/>
      <c r="K18" s="150"/>
      <c r="L18" s="179"/>
    </row>
    <row r="19" spans="1:12" ht="38.25">
      <c r="A19" s="214">
        <v>6</v>
      </c>
      <c r="B19" s="162" t="s">
        <v>1054</v>
      </c>
      <c r="C19" s="162" t="s">
        <v>1147</v>
      </c>
      <c r="D19" s="192" t="s">
        <v>1149</v>
      </c>
      <c r="E19" s="162" t="s">
        <v>1018</v>
      </c>
      <c r="F19" s="150" t="s">
        <v>25</v>
      </c>
      <c r="G19" s="175">
        <v>2012</v>
      </c>
      <c r="H19" s="39" t="s">
        <v>653</v>
      </c>
      <c r="I19" s="151" t="s">
        <v>44</v>
      </c>
      <c r="J19" s="151" t="s">
        <v>267</v>
      </c>
      <c r="K19" s="152" t="s">
        <v>1073</v>
      </c>
      <c r="L19" s="181"/>
    </row>
    <row r="20" spans="1:12" ht="30">
      <c r="A20" s="214">
        <v>7</v>
      </c>
      <c r="B20" s="162" t="s">
        <v>1074</v>
      </c>
      <c r="C20" s="32" t="s">
        <v>48</v>
      </c>
      <c r="D20" s="162" t="s">
        <v>967</v>
      </c>
      <c r="E20" s="162" t="s">
        <v>1000</v>
      </c>
      <c r="F20" s="152" t="s">
        <v>1163</v>
      </c>
      <c r="G20" s="165">
        <v>2015</v>
      </c>
      <c r="H20" s="152" t="s">
        <v>1075</v>
      </c>
      <c r="I20" s="150">
        <v>853562467</v>
      </c>
      <c r="J20" s="153" t="s">
        <v>1110</v>
      </c>
      <c r="K20" s="150" t="s">
        <v>19</v>
      </c>
      <c r="L20" s="179"/>
    </row>
    <row r="21" spans="1:12" ht="45">
      <c r="A21" s="214">
        <v>8</v>
      </c>
      <c r="B21" s="162" t="s">
        <v>1183</v>
      </c>
      <c r="C21" s="211" t="s">
        <v>1252</v>
      </c>
      <c r="D21" s="193"/>
      <c r="E21" s="162" t="s">
        <v>352</v>
      </c>
      <c r="F21" s="150" t="s">
        <v>1184</v>
      </c>
      <c r="G21" s="194">
        <v>44478</v>
      </c>
      <c r="H21" s="150" t="s">
        <v>1185</v>
      </c>
      <c r="I21" s="150">
        <v>848269695</v>
      </c>
      <c r="J21" s="176" t="s">
        <v>1250</v>
      </c>
      <c r="K21" s="152" t="s">
        <v>1184</v>
      </c>
      <c r="L21" s="179" t="s">
        <v>1251</v>
      </c>
    </row>
    <row r="22" spans="1:12" ht="25.5">
      <c r="A22" s="214">
        <v>9</v>
      </c>
      <c r="B22" s="162" t="s">
        <v>996</v>
      </c>
      <c r="C22" s="162" t="s">
        <v>967</v>
      </c>
      <c r="D22" s="162" t="s">
        <v>967</v>
      </c>
      <c r="E22" s="162" t="s">
        <v>997</v>
      </c>
      <c r="F22" s="152" t="s">
        <v>970</v>
      </c>
      <c r="G22" s="165" t="s">
        <v>1242</v>
      </c>
      <c r="H22" s="39" t="s">
        <v>971</v>
      </c>
      <c r="I22" s="151" t="s">
        <v>972</v>
      </c>
      <c r="J22" s="151" t="s">
        <v>973</v>
      </c>
      <c r="K22" s="151"/>
      <c r="L22" s="179"/>
    </row>
    <row r="23" spans="1:12" ht="39" customHeight="1">
      <c r="A23" s="214">
        <v>10</v>
      </c>
      <c r="B23" s="162" t="s">
        <v>1159</v>
      </c>
      <c r="C23" s="162" t="s">
        <v>1160</v>
      </c>
      <c r="D23" s="162" t="s">
        <v>1160</v>
      </c>
      <c r="E23" s="162" t="s">
        <v>28</v>
      </c>
      <c r="F23" s="152" t="s">
        <v>284</v>
      </c>
      <c r="G23" s="165" t="s">
        <v>1248</v>
      </c>
      <c r="H23" s="39" t="s">
        <v>1162</v>
      </c>
      <c r="I23" s="151">
        <v>866850967</v>
      </c>
      <c r="J23" s="151"/>
      <c r="K23" s="151"/>
      <c r="L23" s="179"/>
    </row>
    <row r="24" spans="1:12" ht="51">
      <c r="A24" s="214">
        <v>11</v>
      </c>
      <c r="B24" s="162" t="s">
        <v>274</v>
      </c>
      <c r="C24" s="162" t="s">
        <v>302</v>
      </c>
      <c r="D24" s="162" t="s">
        <v>509</v>
      </c>
      <c r="E24" s="162" t="s">
        <v>1302</v>
      </c>
      <c r="F24" s="152" t="s">
        <v>280</v>
      </c>
      <c r="G24" s="165" t="s">
        <v>1192</v>
      </c>
      <c r="H24" s="152" t="s">
        <v>1076</v>
      </c>
      <c r="I24" s="152" t="s">
        <v>1102</v>
      </c>
      <c r="J24" s="154" t="s">
        <v>277</v>
      </c>
      <c r="K24" s="152" t="s">
        <v>1101</v>
      </c>
      <c r="L24" s="181"/>
    </row>
    <row r="25" spans="1:12" ht="25.5">
      <c r="A25" s="214">
        <v>12</v>
      </c>
      <c r="B25" s="162" t="s">
        <v>1178</v>
      </c>
      <c r="C25" s="162" t="s">
        <v>1179</v>
      </c>
      <c r="D25" s="162"/>
      <c r="E25" s="162" t="s">
        <v>1180</v>
      </c>
      <c r="F25" s="152"/>
      <c r="G25" s="165"/>
      <c r="H25" s="152"/>
      <c r="I25" s="150">
        <v>849003840</v>
      </c>
      <c r="J25" s="154"/>
      <c r="K25" s="154"/>
      <c r="L25" s="181"/>
    </row>
    <row r="26" spans="1:12" ht="15.75">
      <c r="A26" s="214">
        <v>13</v>
      </c>
      <c r="B26" s="162" t="s">
        <v>1166</v>
      </c>
      <c r="C26" s="162"/>
      <c r="D26" s="162"/>
      <c r="E26" s="162"/>
      <c r="F26" s="152"/>
      <c r="G26" s="165"/>
      <c r="H26" s="152"/>
      <c r="I26" s="150"/>
      <c r="J26" s="154"/>
      <c r="K26" s="154"/>
      <c r="L26" s="181"/>
    </row>
    <row r="27" spans="1:12" ht="39">
      <c r="A27" s="214">
        <v>14</v>
      </c>
      <c r="B27" s="162" t="s">
        <v>1052</v>
      </c>
      <c r="C27" s="162" t="s">
        <v>302</v>
      </c>
      <c r="D27" s="162" t="s">
        <v>509</v>
      </c>
      <c r="E27" s="162" t="s">
        <v>1015</v>
      </c>
      <c r="F27" s="171" t="s">
        <v>1066</v>
      </c>
      <c r="G27" s="197" t="s">
        <v>1247</v>
      </c>
      <c r="H27" s="39" t="s">
        <v>419</v>
      </c>
      <c r="I27" s="151" t="s">
        <v>1169</v>
      </c>
      <c r="J27" s="155" t="s">
        <v>497</v>
      </c>
      <c r="K27" s="152" t="s">
        <v>1164</v>
      </c>
      <c r="L27" s="181"/>
    </row>
    <row r="28" spans="1:12" ht="30">
      <c r="A28" s="214">
        <v>15</v>
      </c>
      <c r="B28" s="162" t="s">
        <v>281</v>
      </c>
      <c r="C28" s="162" t="s">
        <v>1259</v>
      </c>
      <c r="D28" s="162"/>
      <c r="E28" s="162" t="s">
        <v>1003</v>
      </c>
      <c r="F28" s="171" t="s">
        <v>761</v>
      </c>
      <c r="G28" s="197"/>
      <c r="H28" s="171" t="s">
        <v>1103</v>
      </c>
      <c r="I28" s="152" t="s">
        <v>1158</v>
      </c>
      <c r="J28" s="176" t="s">
        <v>1253</v>
      </c>
      <c r="K28" s="150" t="s">
        <v>1104</v>
      </c>
      <c r="L28" s="179"/>
    </row>
    <row r="29" spans="1:12" ht="30" customHeight="1">
      <c r="A29" s="214">
        <v>16</v>
      </c>
      <c r="B29" s="162" t="s">
        <v>1096</v>
      </c>
      <c r="C29" s="162" t="s">
        <v>272</v>
      </c>
      <c r="D29" s="162"/>
      <c r="E29" s="162" t="s">
        <v>1005</v>
      </c>
      <c r="F29" s="152" t="s">
        <v>613</v>
      </c>
      <c r="G29" s="165">
        <v>2021</v>
      </c>
      <c r="H29" s="39" t="s">
        <v>1098</v>
      </c>
      <c r="I29" s="151" t="s">
        <v>1099</v>
      </c>
      <c r="J29" s="156" t="s">
        <v>1100</v>
      </c>
      <c r="K29" s="152" t="s">
        <v>1097</v>
      </c>
      <c r="L29" s="181"/>
    </row>
    <row r="30" spans="1:12" ht="25.5">
      <c r="A30" s="214">
        <v>17</v>
      </c>
      <c r="B30" s="162" t="s">
        <v>1056</v>
      </c>
      <c r="C30" s="162"/>
      <c r="D30" s="162"/>
      <c r="E30" s="162" t="s">
        <v>28</v>
      </c>
      <c r="F30" s="150" t="s">
        <v>65</v>
      </c>
      <c r="G30" s="175"/>
      <c r="H30" s="39" t="s">
        <v>61</v>
      </c>
      <c r="I30" s="151" t="s">
        <v>769</v>
      </c>
      <c r="J30" s="151" t="s">
        <v>62</v>
      </c>
      <c r="K30" s="151"/>
      <c r="L30" s="179"/>
    </row>
    <row r="31" spans="1:12" ht="25.5">
      <c r="A31" s="214">
        <v>18</v>
      </c>
      <c r="B31" s="162" t="s">
        <v>1271</v>
      </c>
      <c r="C31" s="162" t="s">
        <v>1172</v>
      </c>
      <c r="D31" s="162"/>
      <c r="E31" s="162" t="s">
        <v>1272</v>
      </c>
      <c r="F31" s="150"/>
      <c r="G31" s="175" t="s">
        <v>1193</v>
      </c>
      <c r="H31" s="39" t="s">
        <v>306</v>
      </c>
      <c r="I31" s="150"/>
      <c r="J31" s="150"/>
      <c r="K31" s="150"/>
      <c r="L31" s="179"/>
    </row>
    <row r="32" spans="1:12" ht="25.5">
      <c r="A32" s="214">
        <v>19</v>
      </c>
      <c r="B32" s="162" t="s">
        <v>1027</v>
      </c>
      <c r="C32" s="162" t="s">
        <v>1259</v>
      </c>
      <c r="D32" s="162"/>
      <c r="E32" s="162" t="s">
        <v>37</v>
      </c>
      <c r="F32" s="150" t="s">
        <v>25</v>
      </c>
      <c r="G32" s="175" t="s">
        <v>1203</v>
      </c>
      <c r="H32" s="39" t="s">
        <v>296</v>
      </c>
      <c r="I32" s="151" t="s">
        <v>756</v>
      </c>
      <c r="J32" s="150"/>
      <c r="K32" s="150" t="s">
        <v>1260</v>
      </c>
      <c r="L32" s="179"/>
    </row>
    <row r="33" spans="1:12" ht="25.5">
      <c r="A33" s="214">
        <v>20</v>
      </c>
      <c r="B33" s="162" t="s">
        <v>1048</v>
      </c>
      <c r="C33" s="162"/>
      <c r="D33" s="162"/>
      <c r="E33" s="162" t="s">
        <v>28</v>
      </c>
      <c r="F33" s="150" t="s">
        <v>78</v>
      </c>
      <c r="G33" s="175"/>
      <c r="H33" s="39" t="s">
        <v>85</v>
      </c>
      <c r="I33" s="151" t="s">
        <v>308</v>
      </c>
      <c r="J33" s="151" t="s">
        <v>86</v>
      </c>
      <c r="K33" s="151"/>
      <c r="L33" s="179"/>
    </row>
    <row r="34" spans="1:12" ht="15.75">
      <c r="A34" s="214">
        <v>21</v>
      </c>
      <c r="B34" s="162" t="s">
        <v>1291</v>
      </c>
      <c r="C34" s="162" t="s">
        <v>1172</v>
      </c>
      <c r="D34" s="162"/>
      <c r="E34" s="162" t="s">
        <v>259</v>
      </c>
      <c r="F34" s="150"/>
      <c r="G34" s="175"/>
      <c r="H34" s="39"/>
      <c r="I34" s="151"/>
      <c r="J34" s="151"/>
      <c r="K34" s="151"/>
      <c r="L34" s="179"/>
    </row>
    <row r="35" spans="1:12" ht="25.5">
      <c r="A35" s="214">
        <v>22</v>
      </c>
      <c r="B35" s="162" t="s">
        <v>1061</v>
      </c>
      <c r="C35" s="162" t="s">
        <v>1172</v>
      </c>
      <c r="D35" s="162"/>
      <c r="E35" s="162" t="s">
        <v>37</v>
      </c>
      <c r="F35" s="152" t="s">
        <v>420</v>
      </c>
      <c r="G35" s="165"/>
      <c r="H35" s="39" t="s">
        <v>421</v>
      </c>
      <c r="I35" s="157" t="s">
        <v>745</v>
      </c>
      <c r="J35" s="150"/>
      <c r="K35" s="150"/>
      <c r="L35" s="179"/>
    </row>
    <row r="36" spans="1:12" ht="25.5">
      <c r="A36" s="214">
        <v>23</v>
      </c>
      <c r="B36" s="162" t="s">
        <v>320</v>
      </c>
      <c r="C36" s="162"/>
      <c r="D36" s="162"/>
      <c r="E36" s="162" t="s">
        <v>1001</v>
      </c>
      <c r="F36" s="150" t="s">
        <v>65</v>
      </c>
      <c r="G36" s="175"/>
      <c r="H36" s="150"/>
      <c r="I36" s="151" t="s">
        <v>91</v>
      </c>
      <c r="J36" s="150"/>
      <c r="K36" s="150"/>
      <c r="L36" s="179"/>
    </row>
    <row r="37" spans="1:12" ht="15.75">
      <c r="A37" s="214">
        <v>24</v>
      </c>
      <c r="B37" s="162" t="s">
        <v>92</v>
      </c>
      <c r="C37" s="162" t="s">
        <v>1286</v>
      </c>
      <c r="D37" s="162"/>
      <c r="E37" s="162" t="s">
        <v>37</v>
      </c>
      <c r="F37" s="150" t="s">
        <v>25</v>
      </c>
      <c r="G37" s="175"/>
      <c r="H37" s="150"/>
      <c r="I37" s="150"/>
      <c r="J37" s="150"/>
      <c r="K37" s="150"/>
      <c r="L37" s="179"/>
    </row>
    <row r="38" spans="1:12" ht="25.5">
      <c r="A38" s="214">
        <v>25</v>
      </c>
      <c r="B38" s="162" t="s">
        <v>1109</v>
      </c>
      <c r="C38" s="162" t="s">
        <v>272</v>
      </c>
      <c r="D38" s="162"/>
      <c r="E38" s="162" t="s">
        <v>752</v>
      </c>
      <c r="F38" s="150" t="s">
        <v>25</v>
      </c>
      <c r="G38" s="175"/>
      <c r="H38" s="39" t="s">
        <v>58</v>
      </c>
      <c r="I38" s="151" t="s">
        <v>324</v>
      </c>
      <c r="J38" s="151" t="s">
        <v>325</v>
      </c>
      <c r="K38" s="151"/>
      <c r="L38" s="183"/>
    </row>
    <row r="39" spans="1:12" ht="64.5">
      <c r="A39" s="214">
        <v>26</v>
      </c>
      <c r="B39" s="162" t="s">
        <v>327</v>
      </c>
      <c r="C39" s="162" t="s">
        <v>1285</v>
      </c>
      <c r="D39" s="162"/>
      <c r="E39" s="162" t="s">
        <v>1025</v>
      </c>
      <c r="F39" s="158" t="s">
        <v>65</v>
      </c>
      <c r="G39" s="158"/>
      <c r="H39" s="158" t="s">
        <v>1111</v>
      </c>
      <c r="I39" s="150" t="s">
        <v>1105</v>
      </c>
      <c r="J39" s="159" t="s">
        <v>1114</v>
      </c>
      <c r="K39" s="152" t="s">
        <v>1112</v>
      </c>
      <c r="L39" s="181"/>
    </row>
    <row r="40" spans="1:12" ht="15.75">
      <c r="A40" s="214">
        <v>27</v>
      </c>
      <c r="B40" s="162" t="s">
        <v>1040</v>
      </c>
      <c r="C40" s="162"/>
      <c r="D40" s="162"/>
      <c r="E40" s="162" t="s">
        <v>1006</v>
      </c>
      <c r="F40" s="150"/>
      <c r="G40" s="175"/>
      <c r="H40" s="158"/>
      <c r="I40" s="150"/>
      <c r="J40" s="150"/>
      <c r="K40" s="150"/>
      <c r="L40" s="179"/>
    </row>
    <row r="41" spans="1:12" ht="25.5">
      <c r="A41" s="214">
        <v>28</v>
      </c>
      <c r="B41" s="162" t="s">
        <v>1049</v>
      </c>
      <c r="C41" s="162"/>
      <c r="D41" s="162"/>
      <c r="E41" s="162" t="s">
        <v>1012</v>
      </c>
      <c r="F41" s="150" t="s">
        <v>25</v>
      </c>
      <c r="G41" s="175"/>
      <c r="H41" s="158"/>
      <c r="I41" s="150"/>
      <c r="J41" s="150"/>
      <c r="K41" s="150"/>
      <c r="L41" s="179"/>
    </row>
    <row r="42" spans="1:12" ht="25.5">
      <c r="A42" s="214">
        <v>29</v>
      </c>
      <c r="B42" s="162" t="s">
        <v>1028</v>
      </c>
      <c r="C42" s="162"/>
      <c r="D42" s="162"/>
      <c r="E42" s="162" t="s">
        <v>989</v>
      </c>
      <c r="F42" s="152" t="s">
        <v>1068</v>
      </c>
      <c r="G42" s="165"/>
      <c r="H42" s="40" t="s">
        <v>103</v>
      </c>
      <c r="I42" s="151">
        <v>842415990</v>
      </c>
      <c r="J42" s="150"/>
      <c r="K42" s="150"/>
      <c r="L42" s="179"/>
    </row>
    <row r="43" spans="1:12" ht="51">
      <c r="A43" s="214">
        <v>30</v>
      </c>
      <c r="B43" s="162" t="s">
        <v>328</v>
      </c>
      <c r="C43" s="162" t="s">
        <v>329</v>
      </c>
      <c r="D43" s="162"/>
      <c r="E43" s="162" t="s">
        <v>992</v>
      </c>
      <c r="F43" s="150" t="s">
        <v>25</v>
      </c>
      <c r="G43" s="175" t="s">
        <v>1221</v>
      </c>
      <c r="H43" s="40" t="s">
        <v>1288</v>
      </c>
      <c r="I43" s="151"/>
      <c r="J43" s="160" t="s">
        <v>964</v>
      </c>
      <c r="K43" s="39" t="s">
        <v>1113</v>
      </c>
      <c r="L43" s="184"/>
    </row>
    <row r="44" spans="1:12" ht="26.25">
      <c r="A44" s="214">
        <v>31</v>
      </c>
      <c r="B44" s="162" t="s">
        <v>1062</v>
      </c>
      <c r="C44" s="162" t="s">
        <v>1268</v>
      </c>
      <c r="D44" s="162"/>
      <c r="E44" s="162" t="s">
        <v>1267</v>
      </c>
      <c r="F44" s="150" t="s">
        <v>25</v>
      </c>
      <c r="G44" s="175"/>
      <c r="H44" s="150" t="s">
        <v>1084</v>
      </c>
      <c r="I44" s="150">
        <v>845057220</v>
      </c>
      <c r="J44" s="161" t="s">
        <v>334</v>
      </c>
      <c r="K44" s="152" t="s">
        <v>1085</v>
      </c>
      <c r="L44" s="181"/>
    </row>
    <row r="45" spans="1:12" ht="51.75">
      <c r="A45" s="214">
        <v>32</v>
      </c>
      <c r="B45" s="162" t="s">
        <v>1064</v>
      </c>
      <c r="C45" s="162" t="s">
        <v>63</v>
      </c>
      <c r="D45" s="162" t="s">
        <v>243</v>
      </c>
      <c r="E45" s="162" t="s">
        <v>619</v>
      </c>
      <c r="F45" s="152" t="s">
        <v>545</v>
      </c>
      <c r="G45" s="198" t="s">
        <v>1238</v>
      </c>
      <c r="H45" s="152"/>
      <c r="I45" s="150"/>
      <c r="J45" s="150"/>
      <c r="K45" s="150" t="s">
        <v>19</v>
      </c>
      <c r="L45" s="179" t="s">
        <v>1210</v>
      </c>
    </row>
    <row r="46" spans="1:12" ht="38.25">
      <c r="A46" s="214">
        <v>33</v>
      </c>
      <c r="B46" s="162" t="s">
        <v>1153</v>
      </c>
      <c r="C46" s="162" t="s">
        <v>1154</v>
      </c>
      <c r="D46" s="162"/>
      <c r="E46" s="162" t="s">
        <v>1155</v>
      </c>
      <c r="F46" s="170" t="s">
        <v>25</v>
      </c>
      <c r="G46" s="158"/>
      <c r="H46" s="162" t="s">
        <v>1150</v>
      </c>
      <c r="I46" s="162" t="s">
        <v>1152</v>
      </c>
      <c r="J46" s="162"/>
      <c r="K46" s="162" t="s">
        <v>1151</v>
      </c>
      <c r="L46" s="185"/>
    </row>
    <row r="47" spans="1:12" ht="30">
      <c r="A47" s="214">
        <v>34</v>
      </c>
      <c r="B47" s="162" t="s">
        <v>1037</v>
      </c>
      <c r="C47" s="204" t="s">
        <v>454</v>
      </c>
      <c r="D47" s="162"/>
      <c r="E47" s="204" t="s">
        <v>1229</v>
      </c>
      <c r="F47" s="150" t="s">
        <v>1228</v>
      </c>
      <c r="G47" s="203">
        <v>37987</v>
      </c>
      <c r="H47" s="202" t="s">
        <v>1225</v>
      </c>
      <c r="I47" s="152" t="s">
        <v>1095</v>
      </c>
      <c r="J47" s="176" t="s">
        <v>1226</v>
      </c>
      <c r="K47" s="150" t="s">
        <v>1227</v>
      </c>
      <c r="L47" s="205" t="s">
        <v>1230</v>
      </c>
    </row>
    <row r="48" spans="1:12" ht="25.5">
      <c r="A48" s="214">
        <v>35</v>
      </c>
      <c r="B48" s="162" t="s">
        <v>1047</v>
      </c>
      <c r="C48" s="162"/>
      <c r="D48" s="162"/>
      <c r="E48" s="162" t="s">
        <v>1009</v>
      </c>
      <c r="F48" s="150" t="s">
        <v>25</v>
      </c>
      <c r="G48" s="175" t="s">
        <v>1237</v>
      </c>
      <c r="H48" s="150"/>
      <c r="I48" s="150"/>
      <c r="J48" s="150"/>
      <c r="K48" s="150"/>
      <c r="L48" s="179"/>
    </row>
    <row r="49" spans="1:12" ht="63.75">
      <c r="A49" s="214">
        <v>36</v>
      </c>
      <c r="B49" s="162" t="s">
        <v>1058</v>
      </c>
      <c r="C49" s="162"/>
      <c r="D49" s="162"/>
      <c r="E49" s="162" t="s">
        <v>1023</v>
      </c>
      <c r="F49" s="150"/>
      <c r="G49" s="175"/>
      <c r="H49" s="39" t="s">
        <v>426</v>
      </c>
      <c r="I49" s="151" t="s">
        <v>486</v>
      </c>
      <c r="J49" s="151" t="s">
        <v>418</v>
      </c>
      <c r="K49" s="151"/>
      <c r="L49" s="179"/>
    </row>
    <row r="50" spans="1:12" ht="25.5">
      <c r="A50" s="214">
        <v>37</v>
      </c>
      <c r="B50" s="162" t="s">
        <v>1033</v>
      </c>
      <c r="C50" s="162"/>
      <c r="D50" s="162"/>
      <c r="E50" s="162" t="s">
        <v>1141</v>
      </c>
      <c r="F50" s="150" t="s">
        <v>65</v>
      </c>
      <c r="G50" s="175"/>
      <c r="H50" s="150"/>
      <c r="I50" s="150"/>
      <c r="J50" s="150"/>
      <c r="K50" s="150"/>
      <c r="L50" s="179"/>
    </row>
    <row r="51" spans="1:12" ht="15.75">
      <c r="A51" s="214">
        <v>38</v>
      </c>
      <c r="B51" s="162" t="s">
        <v>1060</v>
      </c>
      <c r="C51" s="162"/>
      <c r="D51" s="162"/>
      <c r="E51" s="162" t="s">
        <v>28</v>
      </c>
      <c r="F51" s="150" t="s">
        <v>65</v>
      </c>
      <c r="G51" s="175"/>
      <c r="H51" s="150"/>
      <c r="I51" s="150"/>
      <c r="J51" s="150"/>
      <c r="K51" s="150"/>
      <c r="L51" s="179"/>
    </row>
    <row r="52" spans="1:12" ht="25.5">
      <c r="A52" s="214">
        <v>39</v>
      </c>
      <c r="B52" s="162" t="s">
        <v>1167</v>
      </c>
      <c r="C52" s="162" t="s">
        <v>1168</v>
      </c>
      <c r="D52" s="162" t="s">
        <v>1214</v>
      </c>
      <c r="E52" s="162" t="s">
        <v>254</v>
      </c>
      <c r="F52" s="150" t="s">
        <v>284</v>
      </c>
      <c r="G52" s="175" t="s">
        <v>1215</v>
      </c>
      <c r="H52" s="150"/>
      <c r="I52" s="150"/>
      <c r="J52" s="150"/>
      <c r="K52" s="150"/>
      <c r="L52" s="179"/>
    </row>
    <row r="53" spans="1:12" ht="15.75">
      <c r="A53" s="214">
        <v>40</v>
      </c>
      <c r="B53" s="162" t="s">
        <v>1055</v>
      </c>
      <c r="C53" s="162"/>
      <c r="D53" s="162"/>
      <c r="E53" s="162" t="s">
        <v>124</v>
      </c>
      <c r="F53" s="150"/>
      <c r="G53" s="175"/>
      <c r="H53" s="150"/>
      <c r="I53" s="150"/>
      <c r="J53" s="150"/>
      <c r="K53" s="150"/>
      <c r="L53" s="179"/>
    </row>
    <row r="54" spans="1:12" ht="15.75">
      <c r="A54" s="214">
        <v>41</v>
      </c>
      <c r="B54" s="162" t="s">
        <v>355</v>
      </c>
      <c r="C54" s="162" t="s">
        <v>63</v>
      </c>
      <c r="D54" s="162"/>
      <c r="E54" s="162" t="s">
        <v>990</v>
      </c>
      <c r="F54" s="150" t="s">
        <v>65</v>
      </c>
      <c r="G54" s="194">
        <v>45789</v>
      </c>
      <c r="H54" s="150" t="s">
        <v>1108</v>
      </c>
      <c r="I54" s="150">
        <v>849209808</v>
      </c>
      <c r="J54" s="150"/>
      <c r="K54" s="150"/>
      <c r="L54" s="179"/>
    </row>
    <row r="55" spans="1:12" ht="48.75" customHeight="1">
      <c r="A55" s="214">
        <v>42</v>
      </c>
      <c r="B55" s="39" t="s">
        <v>430</v>
      </c>
      <c r="C55" s="39"/>
      <c r="D55" s="39"/>
      <c r="E55" s="39" t="s">
        <v>348</v>
      </c>
      <c r="F55" s="39" t="s">
        <v>1124</v>
      </c>
      <c r="G55" s="40" t="s">
        <v>1249</v>
      </c>
      <c r="H55" s="39" t="s">
        <v>1125</v>
      </c>
      <c r="I55" s="152" t="s">
        <v>1126</v>
      </c>
      <c r="J55" s="150"/>
      <c r="K55" s="150"/>
      <c r="L55" s="179"/>
    </row>
    <row r="56" spans="1:12" ht="15.75">
      <c r="A56" s="214">
        <v>43</v>
      </c>
      <c r="B56" s="162" t="s">
        <v>1031</v>
      </c>
      <c r="C56" s="162" t="s">
        <v>1279</v>
      </c>
      <c r="D56" s="162"/>
      <c r="E56" s="162" t="s">
        <v>994</v>
      </c>
      <c r="F56" s="152" t="s">
        <v>620</v>
      </c>
      <c r="G56" s="165" t="s">
        <v>1188</v>
      </c>
      <c r="H56" s="152"/>
      <c r="I56" s="150"/>
      <c r="J56" s="150"/>
      <c r="K56" s="150"/>
      <c r="L56" s="179"/>
    </row>
    <row r="57" spans="1:12" ht="25.5">
      <c r="A57" s="214">
        <v>44</v>
      </c>
      <c r="B57" s="162" t="s">
        <v>1038</v>
      </c>
      <c r="C57" s="174" t="s">
        <v>63</v>
      </c>
      <c r="D57" s="162" t="s">
        <v>63</v>
      </c>
      <c r="E57" s="162" t="s">
        <v>1002</v>
      </c>
      <c r="F57" s="150" t="s">
        <v>76</v>
      </c>
      <c r="G57" s="175" t="s">
        <v>1248</v>
      </c>
      <c r="H57" s="150"/>
      <c r="I57" s="150"/>
      <c r="J57" s="150"/>
      <c r="K57" s="150" t="s">
        <v>770</v>
      </c>
      <c r="L57" s="179"/>
    </row>
    <row r="58" spans="1:12" ht="24.75" customHeight="1">
      <c r="A58" s="214">
        <v>45</v>
      </c>
      <c r="B58" s="162" t="s">
        <v>145</v>
      </c>
      <c r="C58" s="162"/>
      <c r="D58" s="162"/>
      <c r="E58" s="162" t="s">
        <v>1014</v>
      </c>
      <c r="F58" s="150" t="s">
        <v>21</v>
      </c>
      <c r="G58" s="175"/>
      <c r="H58" s="150"/>
      <c r="I58" s="150"/>
      <c r="J58" s="150"/>
      <c r="K58" s="150"/>
      <c r="L58" s="179"/>
    </row>
    <row r="59" spans="1:12" ht="51">
      <c r="A59" s="214">
        <v>46</v>
      </c>
      <c r="B59" s="162" t="s">
        <v>1171</v>
      </c>
      <c r="C59" s="162" t="s">
        <v>1172</v>
      </c>
      <c r="D59" s="162"/>
      <c r="E59" s="162" t="s">
        <v>1132</v>
      </c>
      <c r="F59" s="152" t="s">
        <v>475</v>
      </c>
      <c r="G59" s="165" t="s">
        <v>1245</v>
      </c>
      <c r="H59" s="39" t="s">
        <v>477</v>
      </c>
      <c r="I59" s="151" t="s">
        <v>1083</v>
      </c>
      <c r="J59" s="151" t="s">
        <v>476</v>
      </c>
      <c r="K59" s="152" t="s">
        <v>1082</v>
      </c>
      <c r="L59" s="181"/>
    </row>
    <row r="60" spans="1:12" ht="26.25">
      <c r="A60" s="214">
        <v>47</v>
      </c>
      <c r="B60" s="162" t="s">
        <v>1034</v>
      </c>
      <c r="C60" s="216" t="s">
        <v>42</v>
      </c>
      <c r="D60" s="162"/>
      <c r="E60" s="162" t="s">
        <v>1304</v>
      </c>
      <c r="F60" s="152" t="s">
        <v>1258</v>
      </c>
      <c r="G60" s="165" t="s">
        <v>1257</v>
      </c>
      <c r="H60" s="152" t="s">
        <v>1287</v>
      </c>
      <c r="I60" s="150">
        <v>855337194</v>
      </c>
      <c r="J60" s="150"/>
      <c r="K60" s="150" t="s">
        <v>21</v>
      </c>
      <c r="L60" s="179"/>
    </row>
    <row r="61" spans="1:12" ht="51.75">
      <c r="A61" s="214">
        <v>48</v>
      </c>
      <c r="B61" s="162" t="s">
        <v>1022</v>
      </c>
      <c r="C61" s="162"/>
      <c r="D61" s="162"/>
      <c r="E61" s="162" t="s">
        <v>992</v>
      </c>
      <c r="F61" s="152" t="s">
        <v>616</v>
      </c>
      <c r="G61" s="165" t="s">
        <v>1190</v>
      </c>
      <c r="H61" s="152" t="s">
        <v>1107</v>
      </c>
      <c r="I61" s="150">
        <v>848614729</v>
      </c>
      <c r="J61" s="161" t="s">
        <v>1080</v>
      </c>
      <c r="K61" s="152" t="s">
        <v>1081</v>
      </c>
      <c r="L61" s="181"/>
    </row>
    <row r="62" spans="1:12" ht="39">
      <c r="A62" s="214">
        <v>49</v>
      </c>
      <c r="B62" s="162" t="s">
        <v>151</v>
      </c>
      <c r="C62" s="162"/>
      <c r="D62" s="162"/>
      <c r="E62" s="162" t="s">
        <v>28</v>
      </c>
      <c r="F62" s="152" t="s">
        <v>670</v>
      </c>
      <c r="G62" s="165"/>
      <c r="H62" s="39" t="s">
        <v>1094</v>
      </c>
      <c r="I62" s="151" t="s">
        <v>622</v>
      </c>
      <c r="J62" s="151" t="s">
        <v>371</v>
      </c>
      <c r="K62" s="152" t="s">
        <v>1093</v>
      </c>
      <c r="L62" s="181"/>
    </row>
    <row r="63" spans="1:12" ht="25.5">
      <c r="A63" s="214">
        <v>50</v>
      </c>
      <c r="B63" s="162" t="s">
        <v>1035</v>
      </c>
      <c r="C63" s="162"/>
      <c r="D63" s="162"/>
      <c r="E63" s="162" t="s">
        <v>28</v>
      </c>
      <c r="F63" s="150" t="s">
        <v>230</v>
      </c>
      <c r="G63" s="175"/>
      <c r="H63" s="39" t="s">
        <v>373</v>
      </c>
      <c r="I63" s="151">
        <v>869049250</v>
      </c>
      <c r="J63" s="163" t="s">
        <v>374</v>
      </c>
      <c r="K63" s="163"/>
      <c r="L63" s="179"/>
    </row>
    <row r="64" spans="1:12" ht="25.5">
      <c r="A64" s="214">
        <v>51</v>
      </c>
      <c r="B64" s="162" t="s">
        <v>1208</v>
      </c>
      <c r="C64" s="162" t="s">
        <v>1209</v>
      </c>
      <c r="D64" s="162"/>
      <c r="E64" s="162" t="s">
        <v>317</v>
      </c>
      <c r="F64" s="150" t="s">
        <v>19</v>
      </c>
      <c r="G64" s="175" t="s">
        <v>1212</v>
      </c>
      <c r="H64" s="39"/>
      <c r="I64" s="151"/>
      <c r="J64" s="163"/>
      <c r="K64" s="163"/>
      <c r="L64" s="179"/>
    </row>
    <row r="65" spans="1:12" ht="15.75">
      <c r="A65" s="214">
        <v>52</v>
      </c>
      <c r="B65" s="162" t="s">
        <v>1046</v>
      </c>
      <c r="C65" s="162"/>
      <c r="D65" s="162"/>
      <c r="E65" s="162" t="s">
        <v>990</v>
      </c>
      <c r="F65" s="150"/>
      <c r="G65" s="175"/>
      <c r="H65" s="150"/>
      <c r="I65" s="150"/>
      <c r="J65" s="150"/>
      <c r="K65" s="150"/>
      <c r="L65" s="179"/>
    </row>
    <row r="66" spans="1:12" ht="39">
      <c r="A66" s="214">
        <v>53</v>
      </c>
      <c r="B66" s="162" t="s">
        <v>161</v>
      </c>
      <c r="C66" s="162" t="s">
        <v>63</v>
      </c>
      <c r="D66" s="162" t="s">
        <v>63</v>
      </c>
      <c r="E66" s="162" t="s">
        <v>593</v>
      </c>
      <c r="F66" s="152" t="s">
        <v>1296</v>
      </c>
      <c r="G66" s="198">
        <v>45700</v>
      </c>
      <c r="H66" s="152" t="s">
        <v>1217</v>
      </c>
      <c r="I66" s="150">
        <v>840600564</v>
      </c>
      <c r="J66" s="150"/>
      <c r="K66" s="150" t="s">
        <v>1218</v>
      </c>
      <c r="L66" s="179"/>
    </row>
    <row r="67" spans="1:12" ht="45">
      <c r="A67" s="214">
        <v>54</v>
      </c>
      <c r="B67" s="162" t="s">
        <v>1213</v>
      </c>
      <c r="C67" s="162" t="s">
        <v>73</v>
      </c>
      <c r="D67" s="162"/>
      <c r="E67" s="162" t="s">
        <v>1303</v>
      </c>
      <c r="F67" s="150" t="s">
        <v>21</v>
      </c>
      <c r="G67" s="194">
        <v>45849</v>
      </c>
      <c r="H67" s="150" t="s">
        <v>1222</v>
      </c>
      <c r="I67" s="150">
        <v>871302462</v>
      </c>
      <c r="J67" s="176" t="s">
        <v>1223</v>
      </c>
      <c r="K67" s="150" t="s">
        <v>21</v>
      </c>
      <c r="L67" s="179"/>
    </row>
    <row r="68" spans="1:12" ht="26.25">
      <c r="A68" s="214">
        <v>55</v>
      </c>
      <c r="B68" s="162" t="s">
        <v>1274</v>
      </c>
      <c r="C68" s="162"/>
      <c r="D68" s="162"/>
      <c r="E68" s="162" t="s">
        <v>1275</v>
      </c>
      <c r="F68" s="152" t="s">
        <v>1278</v>
      </c>
      <c r="G68" s="194"/>
      <c r="H68" s="150" t="s">
        <v>1276</v>
      </c>
      <c r="I68" s="150"/>
      <c r="J68" s="176"/>
      <c r="K68" s="150" t="s">
        <v>1277</v>
      </c>
      <c r="L68" s="179"/>
    </row>
    <row r="69" spans="1:12" ht="25.5">
      <c r="A69" s="214">
        <v>56</v>
      </c>
      <c r="B69" s="162" t="s">
        <v>1063</v>
      </c>
      <c r="C69" s="162" t="s">
        <v>1206</v>
      </c>
      <c r="D69" s="162"/>
      <c r="E69" s="162" t="s">
        <v>37</v>
      </c>
      <c r="F69" s="150" t="s">
        <v>51</v>
      </c>
      <c r="G69" s="175" t="s">
        <v>698</v>
      </c>
      <c r="H69" s="150" t="s">
        <v>1079</v>
      </c>
      <c r="I69" s="150">
        <v>870452230</v>
      </c>
      <c r="J69" s="150"/>
      <c r="K69" s="150"/>
      <c r="L69" s="179"/>
    </row>
    <row r="70" spans="1:12" ht="15.75">
      <c r="A70" s="214">
        <v>57</v>
      </c>
      <c r="B70" s="162" t="s">
        <v>1042</v>
      </c>
      <c r="C70" s="162"/>
      <c r="D70" s="162"/>
      <c r="E70" s="162" t="s">
        <v>37</v>
      </c>
      <c r="F70" s="150" t="s">
        <v>25</v>
      </c>
      <c r="G70" s="175"/>
      <c r="H70" s="150"/>
      <c r="I70" s="150"/>
      <c r="J70" s="150"/>
      <c r="K70" s="150"/>
      <c r="L70" s="179"/>
    </row>
    <row r="71" spans="1:12" ht="38.25">
      <c r="A71" s="214">
        <v>58</v>
      </c>
      <c r="B71" s="162" t="s">
        <v>1289</v>
      </c>
      <c r="C71" s="162" t="s">
        <v>1290</v>
      </c>
      <c r="D71" s="162"/>
      <c r="E71" s="162" t="s">
        <v>37</v>
      </c>
      <c r="F71" s="150" t="s">
        <v>65</v>
      </c>
      <c r="G71" s="175" t="s">
        <v>1224</v>
      </c>
      <c r="H71" s="39" t="s">
        <v>390</v>
      </c>
      <c r="I71" s="151" t="s">
        <v>391</v>
      </c>
      <c r="J71" s="151" t="s">
        <v>392</v>
      </c>
      <c r="K71" s="151"/>
      <c r="L71" s="179"/>
    </row>
    <row r="72" spans="1:12" ht="39">
      <c r="A72" s="214">
        <v>59</v>
      </c>
      <c r="B72" s="162" t="s">
        <v>1043</v>
      </c>
      <c r="C72" s="162" t="s">
        <v>1194</v>
      </c>
      <c r="D72" s="162"/>
      <c r="E72" s="162" t="s">
        <v>992</v>
      </c>
      <c r="F72" s="152" t="s">
        <v>1129</v>
      </c>
      <c r="G72" s="165" t="s">
        <v>1246</v>
      </c>
      <c r="H72" s="39" t="s">
        <v>1130</v>
      </c>
      <c r="I72" s="151">
        <v>879986743</v>
      </c>
      <c r="J72" s="195" t="s">
        <v>388</v>
      </c>
      <c r="K72" s="152" t="s">
        <v>1131</v>
      </c>
      <c r="L72" s="179"/>
    </row>
    <row r="73" spans="1:12" ht="26.25">
      <c r="A73" s="214">
        <v>60</v>
      </c>
      <c r="B73" s="162" t="s">
        <v>187</v>
      </c>
      <c r="C73" s="162" t="s">
        <v>1269</v>
      </c>
      <c r="D73" s="162"/>
      <c r="E73" s="162" t="s">
        <v>22</v>
      </c>
      <c r="F73" s="152" t="s">
        <v>1069</v>
      </c>
      <c r="G73" s="165" t="s">
        <v>1241</v>
      </c>
      <c r="H73" s="152" t="s">
        <v>1204</v>
      </c>
      <c r="I73" s="152" t="s">
        <v>1205</v>
      </c>
      <c r="J73" s="150"/>
      <c r="K73" s="150" t="s">
        <v>25</v>
      </c>
      <c r="L73" s="179"/>
    </row>
    <row r="74" spans="1:12" ht="28.5" customHeight="1">
      <c r="A74" s="214">
        <v>61</v>
      </c>
      <c r="B74" s="162" t="s">
        <v>1173</v>
      </c>
      <c r="C74" s="162" t="s">
        <v>1174</v>
      </c>
      <c r="D74" s="162"/>
      <c r="E74" s="162" t="s">
        <v>259</v>
      </c>
      <c r="F74" s="152" t="s">
        <v>25</v>
      </c>
      <c r="G74" s="198">
        <v>46000</v>
      </c>
      <c r="H74" s="173" t="s">
        <v>1175</v>
      </c>
      <c r="I74" s="150">
        <v>872860261</v>
      </c>
      <c r="J74" s="176" t="s">
        <v>1176</v>
      </c>
      <c r="K74" s="176"/>
      <c r="L74" s="179"/>
    </row>
    <row r="75" spans="1:12" ht="25.5">
      <c r="A75" s="214">
        <v>62</v>
      </c>
      <c r="B75" s="162" t="s">
        <v>998</v>
      </c>
      <c r="C75" s="162"/>
      <c r="D75" s="162"/>
      <c r="E75" s="162" t="s">
        <v>1133</v>
      </c>
      <c r="F75" s="152" t="s">
        <v>191</v>
      </c>
      <c r="G75" s="165" t="s">
        <v>1189</v>
      </c>
      <c r="H75" s="162" t="s">
        <v>1086</v>
      </c>
      <c r="I75" s="162" t="s">
        <v>719</v>
      </c>
      <c r="J75" s="162" t="s">
        <v>192</v>
      </c>
      <c r="K75" s="162" t="s">
        <v>1087</v>
      </c>
      <c r="L75" s="185"/>
    </row>
    <row r="76" spans="1:12" ht="76.5">
      <c r="A76" s="214">
        <v>63</v>
      </c>
      <c r="B76" s="162" t="s">
        <v>196</v>
      </c>
      <c r="C76" s="162"/>
      <c r="D76" s="162"/>
      <c r="E76" s="162" t="s">
        <v>604</v>
      </c>
      <c r="F76" s="152" t="s">
        <v>606</v>
      </c>
      <c r="G76" s="165"/>
      <c r="H76" s="39" t="s">
        <v>607</v>
      </c>
      <c r="I76" s="39" t="s">
        <v>608</v>
      </c>
      <c r="J76" s="164" t="s">
        <v>510</v>
      </c>
      <c r="K76" s="162" t="s">
        <v>25</v>
      </c>
      <c r="L76" s="185"/>
    </row>
    <row r="77" spans="1:12" ht="39">
      <c r="A77" s="214">
        <v>64</v>
      </c>
      <c r="B77" s="162" t="s">
        <v>1157</v>
      </c>
      <c r="C77" s="162"/>
      <c r="D77" s="162"/>
      <c r="E77" s="162" t="s">
        <v>1134</v>
      </c>
      <c r="F77" s="152" t="s">
        <v>1135</v>
      </c>
      <c r="G77" s="165"/>
      <c r="H77" s="150"/>
      <c r="I77" s="150"/>
      <c r="J77" s="150"/>
      <c r="K77" s="150"/>
      <c r="L77" s="179"/>
    </row>
    <row r="78" spans="1:12" ht="39">
      <c r="A78" s="214">
        <v>65</v>
      </c>
      <c r="B78" s="162" t="s">
        <v>1036</v>
      </c>
      <c r="C78" s="162"/>
      <c r="D78" s="162"/>
      <c r="E78" s="162" t="s">
        <v>999</v>
      </c>
      <c r="F78" s="152" t="s">
        <v>566</v>
      </c>
      <c r="G78" s="165"/>
      <c r="H78" s="152" t="s">
        <v>1089</v>
      </c>
      <c r="I78" s="152" t="s">
        <v>1090</v>
      </c>
      <c r="J78" s="161" t="s">
        <v>1091</v>
      </c>
      <c r="K78" s="150" t="s">
        <v>1092</v>
      </c>
      <c r="L78" s="179"/>
    </row>
    <row r="79" spans="1:12" ht="38.25">
      <c r="A79" s="214">
        <v>66</v>
      </c>
      <c r="B79" s="162" t="s">
        <v>1032</v>
      </c>
      <c r="C79" s="162" t="s">
        <v>63</v>
      </c>
      <c r="D79" s="162"/>
      <c r="E79" s="162" t="s">
        <v>1283</v>
      </c>
      <c r="F79" s="150" t="s">
        <v>25</v>
      </c>
      <c r="G79" s="175"/>
      <c r="H79" s="150"/>
      <c r="I79" s="150"/>
      <c r="J79" s="150"/>
      <c r="K79" s="150" t="s">
        <v>576</v>
      </c>
      <c r="L79" s="179"/>
    </row>
    <row r="80" spans="1:12" ht="25.5">
      <c r="A80" s="214">
        <v>67</v>
      </c>
      <c r="B80" s="162" t="s">
        <v>198</v>
      </c>
      <c r="C80" s="162"/>
      <c r="D80" s="162"/>
      <c r="E80" s="162" t="s">
        <v>995</v>
      </c>
      <c r="F80" s="152" t="s">
        <v>158</v>
      </c>
      <c r="G80" s="165"/>
      <c r="H80" s="39" t="s">
        <v>976</v>
      </c>
      <c r="I80" s="151" t="s">
        <v>977</v>
      </c>
      <c r="J80" s="151" t="s">
        <v>978</v>
      </c>
      <c r="K80" s="151"/>
      <c r="L80" s="179"/>
    </row>
    <row r="81" spans="1:12" ht="15.75">
      <c r="A81" s="214">
        <v>68</v>
      </c>
      <c r="B81" s="162" t="s">
        <v>1030</v>
      </c>
      <c r="C81" s="162"/>
      <c r="D81" s="162"/>
      <c r="E81" s="162" t="s">
        <v>1142</v>
      </c>
      <c r="F81" s="152" t="s">
        <v>1070</v>
      </c>
      <c r="G81" s="165" t="s">
        <v>1202</v>
      </c>
      <c r="H81" s="152"/>
      <c r="I81" s="151">
        <v>878405343</v>
      </c>
      <c r="J81" s="150"/>
      <c r="K81" s="150"/>
      <c r="L81" s="179"/>
    </row>
    <row r="82" spans="1:12" ht="25.5">
      <c r="A82" s="214">
        <v>69</v>
      </c>
      <c r="B82" s="162" t="s">
        <v>1045</v>
      </c>
      <c r="C82" s="162"/>
      <c r="D82" s="162"/>
      <c r="E82" s="162" t="s">
        <v>1008</v>
      </c>
      <c r="F82" s="150" t="s">
        <v>65</v>
      </c>
      <c r="G82" s="175"/>
      <c r="H82" s="150"/>
      <c r="I82" s="150"/>
      <c r="J82" s="150"/>
      <c r="K82" s="150"/>
      <c r="L82" s="179"/>
    </row>
    <row r="83" spans="1:12" ht="26.25">
      <c r="A83" s="214">
        <v>70</v>
      </c>
      <c r="B83" s="162" t="s">
        <v>1010</v>
      </c>
      <c r="C83" s="162" t="s">
        <v>63</v>
      </c>
      <c r="D83" s="162"/>
      <c r="E83" s="162" t="s">
        <v>1071</v>
      </c>
      <c r="F83" s="150" t="s">
        <v>65</v>
      </c>
      <c r="G83" s="175"/>
      <c r="H83" s="150" t="s">
        <v>1077</v>
      </c>
      <c r="I83" s="150" t="s">
        <v>1088</v>
      </c>
      <c r="J83" s="161" t="s">
        <v>203</v>
      </c>
      <c r="K83" s="152" t="s">
        <v>1078</v>
      </c>
      <c r="L83" s="181"/>
    </row>
    <row r="84" spans="1:12" ht="25.5">
      <c r="A84" s="214">
        <v>71</v>
      </c>
      <c r="B84" s="162" t="s">
        <v>1016</v>
      </c>
      <c r="C84" s="162"/>
      <c r="D84" s="162"/>
      <c r="E84" s="162" t="s">
        <v>1017</v>
      </c>
      <c r="F84" s="150" t="s">
        <v>19</v>
      </c>
      <c r="G84" s="175"/>
      <c r="H84" s="39" t="s">
        <v>207</v>
      </c>
      <c r="I84" s="151" t="s">
        <v>208</v>
      </c>
      <c r="J84" s="163" t="s">
        <v>633</v>
      </c>
      <c r="K84" s="163"/>
      <c r="L84" s="179"/>
    </row>
    <row r="85" spans="1:12" ht="25.5">
      <c r="A85" s="214">
        <v>72</v>
      </c>
      <c r="B85" s="162" t="s">
        <v>1050</v>
      </c>
      <c r="C85" s="162"/>
      <c r="D85" s="162"/>
      <c r="E85" s="162" t="s">
        <v>1013</v>
      </c>
      <c r="F85" s="150" t="s">
        <v>25</v>
      </c>
      <c r="G85" s="175"/>
      <c r="H85" s="39" t="s">
        <v>211</v>
      </c>
      <c r="I85" s="151">
        <v>824279410</v>
      </c>
      <c r="J85" s="151" t="s">
        <v>212</v>
      </c>
      <c r="K85" s="151"/>
      <c r="L85" s="179"/>
    </row>
    <row r="86" spans="1:12" ht="30">
      <c r="A86" s="214">
        <v>73</v>
      </c>
      <c r="B86" s="162" t="s">
        <v>1127</v>
      </c>
      <c r="C86" s="162"/>
      <c r="D86" s="162"/>
      <c r="E86" s="162" t="s">
        <v>1136</v>
      </c>
      <c r="F86" s="150" t="s">
        <v>1254</v>
      </c>
      <c r="G86" s="175"/>
      <c r="H86" s="213" t="s">
        <v>1256</v>
      </c>
      <c r="I86" s="151">
        <v>844718144</v>
      </c>
      <c r="J86" s="212" t="s">
        <v>1255</v>
      </c>
      <c r="K86" s="165" t="s">
        <v>76</v>
      </c>
      <c r="L86" s="186"/>
    </row>
    <row r="87" spans="1:12" ht="15.75">
      <c r="A87" s="214">
        <v>74</v>
      </c>
      <c r="B87" s="162" t="s">
        <v>991</v>
      </c>
      <c r="C87" s="162"/>
      <c r="D87" s="162"/>
      <c r="E87" s="162" t="s">
        <v>1128</v>
      </c>
      <c r="F87" s="150" t="s">
        <v>65</v>
      </c>
      <c r="G87" s="175"/>
      <c r="H87" s="150"/>
      <c r="I87" s="150"/>
      <c r="J87" s="150"/>
      <c r="K87" s="150"/>
      <c r="L87" s="179"/>
    </row>
    <row r="88" spans="1:12" ht="25.5">
      <c r="A88" s="214">
        <v>75</v>
      </c>
      <c r="B88" s="162" t="s">
        <v>1059</v>
      </c>
      <c r="C88" s="162"/>
      <c r="D88" s="162"/>
      <c r="E88" s="162" t="s">
        <v>1024</v>
      </c>
      <c r="F88" s="150" t="s">
        <v>25</v>
      </c>
      <c r="G88" s="175"/>
      <c r="H88" s="39" t="s">
        <v>435</v>
      </c>
      <c r="I88" s="151">
        <v>820495910</v>
      </c>
      <c r="J88" s="150"/>
      <c r="K88" s="150"/>
      <c r="L88" s="179"/>
    </row>
    <row r="89" spans="1:12" ht="15.75">
      <c r="A89" s="214">
        <v>76</v>
      </c>
      <c r="B89" s="162" t="s">
        <v>1011</v>
      </c>
      <c r="C89" s="162"/>
      <c r="D89" s="162"/>
      <c r="E89" s="162" t="s">
        <v>990</v>
      </c>
      <c r="F89" s="150"/>
      <c r="G89" s="175"/>
      <c r="H89" s="150"/>
      <c r="I89" s="150"/>
      <c r="J89" s="150"/>
      <c r="K89" s="150"/>
      <c r="L89" s="179"/>
    </row>
    <row r="90" spans="1:12" ht="51">
      <c r="A90" s="214">
        <v>77</v>
      </c>
      <c r="B90" s="162" t="s">
        <v>222</v>
      </c>
      <c r="C90" s="162"/>
      <c r="D90" s="162"/>
      <c r="E90" s="162" t="s">
        <v>993</v>
      </c>
      <c r="F90" s="152" t="s">
        <v>1072</v>
      </c>
      <c r="G90" s="165"/>
      <c r="H90" s="39" t="s">
        <v>439</v>
      </c>
      <c r="I90" s="151" t="s">
        <v>440</v>
      </c>
      <c r="J90" s="151" t="s">
        <v>402</v>
      </c>
      <c r="K90" s="151"/>
      <c r="L90" s="179"/>
    </row>
    <row r="91" spans="1:12" ht="25.5">
      <c r="A91" s="214">
        <v>78</v>
      </c>
      <c r="B91" s="162" t="s">
        <v>1057</v>
      </c>
      <c r="C91" s="162"/>
      <c r="D91" s="162"/>
      <c r="E91" s="162" t="s">
        <v>1021</v>
      </c>
      <c r="F91" s="150" t="s">
        <v>230</v>
      </c>
      <c r="G91" s="175"/>
      <c r="H91" s="40" t="s">
        <v>507</v>
      </c>
      <c r="I91" s="40">
        <v>822355620</v>
      </c>
      <c r="J91" s="164" t="s">
        <v>508</v>
      </c>
      <c r="K91" s="164"/>
      <c r="L91" s="179"/>
    </row>
    <row r="92" spans="1:12" ht="25.5">
      <c r="A92" s="214">
        <v>79</v>
      </c>
      <c r="B92" s="162" t="s">
        <v>1029</v>
      </c>
      <c r="C92" s="162"/>
      <c r="D92" s="162"/>
      <c r="E92" s="162" t="s">
        <v>1165</v>
      </c>
      <c r="F92" s="150"/>
      <c r="G92" s="175"/>
      <c r="H92" s="150"/>
      <c r="I92" s="150"/>
      <c r="J92" s="150"/>
      <c r="K92" s="150"/>
      <c r="L92" s="179"/>
    </row>
    <row r="93" spans="1:12" ht="38.25">
      <c r="A93" s="214">
        <v>80</v>
      </c>
      <c r="B93" s="162" t="s">
        <v>1007</v>
      </c>
      <c r="C93" s="162" t="s">
        <v>1182</v>
      </c>
      <c r="D93" s="162"/>
      <c r="E93" s="162" t="s">
        <v>989</v>
      </c>
      <c r="F93" s="152" t="s">
        <v>1207</v>
      </c>
      <c r="G93" s="165" t="s">
        <v>1211</v>
      </c>
      <c r="H93" s="152" t="s">
        <v>1201</v>
      </c>
      <c r="I93" s="150">
        <v>874039819</v>
      </c>
      <c r="J93" s="150"/>
      <c r="K93" s="150" t="s">
        <v>1297</v>
      </c>
      <c r="L93" s="179"/>
    </row>
    <row r="94" spans="1:12" ht="15.75">
      <c r="A94" s="214">
        <v>81</v>
      </c>
      <c r="B94" s="166" t="s">
        <v>1137</v>
      </c>
      <c r="C94" s="166" t="s">
        <v>63</v>
      </c>
      <c r="D94" s="166"/>
      <c r="E94" s="166" t="s">
        <v>343</v>
      </c>
      <c r="F94" s="166" t="s">
        <v>65</v>
      </c>
      <c r="G94" s="199"/>
      <c r="H94" s="166" t="s">
        <v>1138</v>
      </c>
      <c r="I94" s="166">
        <v>865567655</v>
      </c>
      <c r="J94" s="166"/>
      <c r="K94" s="150" t="s">
        <v>1298</v>
      </c>
      <c r="L94" s="187"/>
    </row>
    <row r="95" spans="1:12" ht="45">
      <c r="A95" s="214">
        <v>82</v>
      </c>
      <c r="B95" s="162" t="s">
        <v>1243</v>
      </c>
      <c r="C95" s="162" t="s">
        <v>1266</v>
      </c>
      <c r="D95" s="162"/>
      <c r="E95" s="162" t="s">
        <v>994</v>
      </c>
      <c r="F95" s="150" t="s">
        <v>52</v>
      </c>
      <c r="G95" s="198" t="s">
        <v>1244</v>
      </c>
      <c r="H95" s="152" t="s">
        <v>1299</v>
      </c>
      <c r="I95" s="152" t="s">
        <v>1300</v>
      </c>
      <c r="J95" s="176" t="s">
        <v>1301</v>
      </c>
      <c r="K95" s="150"/>
      <c r="L95" s="179"/>
    </row>
    <row r="96" spans="1:12" ht="25.5">
      <c r="A96" s="214">
        <v>83</v>
      </c>
      <c r="B96" s="162" t="s">
        <v>1195</v>
      </c>
      <c r="C96" s="162" t="s">
        <v>1270</v>
      </c>
      <c r="D96" s="162"/>
      <c r="E96" s="162" t="s">
        <v>1295</v>
      </c>
      <c r="F96" s="150" t="s">
        <v>1216</v>
      </c>
      <c r="G96" s="175"/>
      <c r="H96" s="150" t="s">
        <v>1219</v>
      </c>
      <c r="I96" s="150">
        <v>862748449</v>
      </c>
      <c r="J96" s="150"/>
      <c r="K96" s="150" t="s">
        <v>25</v>
      </c>
      <c r="L96" s="179"/>
    </row>
    <row r="97" spans="1:12" ht="15.75">
      <c r="A97" s="214">
        <v>84</v>
      </c>
      <c r="B97" s="162" t="s">
        <v>240</v>
      </c>
      <c r="C97" s="162"/>
      <c r="D97" s="162"/>
      <c r="E97" s="162" t="s">
        <v>28</v>
      </c>
      <c r="F97" s="150" t="s">
        <v>25</v>
      </c>
      <c r="G97" s="175"/>
      <c r="H97" s="150"/>
      <c r="I97" s="150"/>
      <c r="J97" s="150"/>
      <c r="K97" s="150"/>
      <c r="L97" s="179"/>
    </row>
    <row r="98" spans="1:12" ht="15.75">
      <c r="A98" s="214">
        <v>85</v>
      </c>
      <c r="B98" s="162" t="s">
        <v>408</v>
      </c>
      <c r="C98" s="170" t="s">
        <v>1293</v>
      </c>
      <c r="D98" s="162"/>
      <c r="E98" s="162" t="s">
        <v>1294</v>
      </c>
      <c r="F98" s="150"/>
      <c r="G98" s="175"/>
      <c r="H98" s="150"/>
      <c r="I98" s="150"/>
      <c r="J98" s="150"/>
      <c r="K98" s="150"/>
      <c r="L98" s="179"/>
    </row>
    <row r="99" spans="1:12" ht="15.75">
      <c r="A99" s="214">
        <v>86</v>
      </c>
      <c r="B99" s="162" t="s">
        <v>1053</v>
      </c>
      <c r="C99" s="162" t="s">
        <v>63</v>
      </c>
      <c r="D99" s="162"/>
      <c r="E99" s="162" t="s">
        <v>37</v>
      </c>
      <c r="F99" s="150" t="s">
        <v>65</v>
      </c>
      <c r="G99" s="175"/>
      <c r="H99" s="150"/>
      <c r="I99" s="150"/>
      <c r="J99" s="150"/>
      <c r="K99" s="150"/>
      <c r="L99" s="179"/>
    </row>
    <row r="100" spans="1:12" ht="25.5">
      <c r="A100" s="214">
        <v>87</v>
      </c>
      <c r="B100" s="162" t="s">
        <v>1026</v>
      </c>
      <c r="C100" s="162"/>
      <c r="D100" s="162"/>
      <c r="E100" s="162" t="s">
        <v>1156</v>
      </c>
      <c r="F100" s="150" t="s">
        <v>65</v>
      </c>
      <c r="G100" s="175"/>
      <c r="H100" s="39" t="s">
        <v>591</v>
      </c>
      <c r="I100" s="151">
        <v>864320561</v>
      </c>
      <c r="J100" s="151" t="s">
        <v>592</v>
      </c>
      <c r="K100" s="150" t="s">
        <v>1106</v>
      </c>
      <c r="L100" s="179"/>
    </row>
    <row r="101" spans="1:12" ht="25.5">
      <c r="A101" s="214">
        <v>88</v>
      </c>
      <c r="B101" s="162" t="s">
        <v>1039</v>
      </c>
      <c r="C101" s="162"/>
      <c r="D101" s="162"/>
      <c r="E101" s="162" t="s">
        <v>1004</v>
      </c>
      <c r="F101" s="150"/>
      <c r="G101" s="175"/>
      <c r="H101" s="150"/>
      <c r="I101" s="150"/>
      <c r="J101" s="150"/>
      <c r="K101" s="150"/>
      <c r="L101" s="179"/>
    </row>
    <row r="102" spans="1:12" ht="26.25">
      <c r="A102" s="215">
        <v>89</v>
      </c>
      <c r="B102" s="206" t="s">
        <v>1231</v>
      </c>
      <c r="C102" s="207" t="s">
        <v>272</v>
      </c>
      <c r="D102" s="204" t="s">
        <v>1232</v>
      </c>
      <c r="E102" s="204" t="s">
        <v>1233</v>
      </c>
      <c r="F102" s="208" t="s">
        <v>25</v>
      </c>
      <c r="G102" s="203">
        <v>42375</v>
      </c>
      <c r="H102" s="152" t="s">
        <v>1263</v>
      </c>
      <c r="I102" s="209">
        <v>847778227</v>
      </c>
      <c r="J102" s="209"/>
      <c r="K102" s="209" t="s">
        <v>1234</v>
      </c>
      <c r="L102" s="210" t="s">
        <v>1235</v>
      </c>
    </row>
    <row r="103" spans="1:12" ht="15.75">
      <c r="A103" s="214">
        <v>90</v>
      </c>
      <c r="B103" s="162" t="s">
        <v>1044</v>
      </c>
      <c r="C103" s="162" t="s">
        <v>1284</v>
      </c>
      <c r="D103" s="162"/>
      <c r="E103" s="162" t="s">
        <v>254</v>
      </c>
      <c r="F103" s="150" t="s">
        <v>65</v>
      </c>
      <c r="G103" s="175"/>
      <c r="H103" s="39" t="s">
        <v>587</v>
      </c>
      <c r="I103" s="39">
        <v>865252526</v>
      </c>
      <c r="J103" s="150"/>
      <c r="K103" s="150"/>
      <c r="L103" s="179"/>
    </row>
    <row r="104" spans="1:12" ht="25.5">
      <c r="A104" s="214">
        <v>91</v>
      </c>
      <c r="B104" s="162" t="s">
        <v>1019</v>
      </c>
      <c r="C104" s="162"/>
      <c r="D104" s="162"/>
      <c r="E104" s="162" t="s">
        <v>1020</v>
      </c>
      <c r="F104" s="175" t="s">
        <v>52</v>
      </c>
      <c r="G104" s="175"/>
      <c r="H104" s="150"/>
      <c r="I104" s="150"/>
      <c r="J104" s="150"/>
      <c r="K104" s="150"/>
      <c r="L104" s="179"/>
    </row>
    <row r="105" spans="1:12" ht="39">
      <c r="A105" s="214">
        <v>92</v>
      </c>
      <c r="B105" s="162" t="s">
        <v>1198</v>
      </c>
      <c r="C105" s="174" t="s">
        <v>1265</v>
      </c>
      <c r="D105" s="162" t="s">
        <v>1239</v>
      </c>
      <c r="E105" s="162" t="s">
        <v>585</v>
      </c>
      <c r="F105" s="165" t="s">
        <v>1292</v>
      </c>
      <c r="G105" s="165" t="s">
        <v>1240</v>
      </c>
      <c r="H105" s="150" t="s">
        <v>1200</v>
      </c>
      <c r="I105" s="152" t="s">
        <v>1199</v>
      </c>
      <c r="J105" s="176" t="s">
        <v>1273</v>
      </c>
      <c r="K105" s="150" t="s">
        <v>76</v>
      </c>
      <c r="L105" s="179"/>
    </row>
    <row r="106" spans="1:12" ht="15.75">
      <c r="A106" s="214">
        <v>93</v>
      </c>
      <c r="B106" s="162" t="s">
        <v>1261</v>
      </c>
      <c r="C106" s="162" t="s">
        <v>1264</v>
      </c>
      <c r="D106" s="162"/>
      <c r="E106" s="162" t="s">
        <v>1262</v>
      </c>
      <c r="F106" s="150"/>
      <c r="G106" s="175"/>
      <c r="H106" s="150"/>
      <c r="I106" s="150"/>
      <c r="J106" s="150"/>
      <c r="K106" s="150" t="s">
        <v>1260</v>
      </c>
      <c r="L106" s="179"/>
    </row>
    <row r="107" spans="1:12" ht="15.75">
      <c r="A107" s="182"/>
      <c r="B107" s="149"/>
      <c r="C107" s="149"/>
      <c r="D107" s="149"/>
      <c r="E107" s="149"/>
      <c r="F107" s="148"/>
      <c r="G107" s="200"/>
      <c r="H107" s="148"/>
      <c r="I107" s="148"/>
      <c r="J107" s="148"/>
      <c r="K107" s="148"/>
      <c r="L107" s="188"/>
    </row>
    <row r="108" spans="1:12" ht="16.5" thickBot="1">
      <c r="A108" s="189"/>
      <c r="B108" s="190"/>
      <c r="C108" s="190"/>
      <c r="D108" s="190"/>
      <c r="E108" s="190"/>
      <c r="F108" s="190"/>
      <c r="G108" s="201"/>
      <c r="H108" s="190"/>
      <c r="I108" s="190"/>
      <c r="J108" s="190"/>
      <c r="K108" s="190"/>
      <c r="L108" s="191"/>
    </row>
    <row r="109" spans="1:12">
      <c r="F109" s="147"/>
      <c r="G109" s="147"/>
      <c r="H109" s="147"/>
    </row>
  </sheetData>
  <autoFilter ref="A12:L100">
    <filterColumn colId="8" showButton="0"/>
  </autoFilter>
  <sortState ref="B14:K96">
    <sortCondition ref="B14"/>
  </sortState>
  <mergeCells count="17">
    <mergeCell ref="A3:E3"/>
    <mergeCell ref="A4:L4"/>
    <mergeCell ref="A5:L5"/>
    <mergeCell ref="A6:L6"/>
    <mergeCell ref="A7:L7"/>
    <mergeCell ref="A10:L10"/>
    <mergeCell ref="A12:A13"/>
    <mergeCell ref="G12:G13"/>
    <mergeCell ref="D12:D13"/>
    <mergeCell ref="C12:C13"/>
    <mergeCell ref="K12:K13"/>
    <mergeCell ref="L12:L13"/>
    <mergeCell ref="E12:E13"/>
    <mergeCell ref="B12:B13"/>
    <mergeCell ref="F12:F13"/>
    <mergeCell ref="I12:J12"/>
    <mergeCell ref="H12:H13"/>
  </mergeCells>
  <hyperlinks>
    <hyperlink ref="J74" r:id="rId1"/>
    <hyperlink ref="J39" r:id="rId2"/>
    <hyperlink ref="J20" r:id="rId3"/>
    <hyperlink ref="J38" r:id="rId4"/>
    <hyperlink ref="J90" r:id="rId5" display="ochauque@snvworld.org/oraciopedrochauque@gmail.com"/>
    <hyperlink ref="J85" r:id="rId6"/>
    <hyperlink ref="J80" r:id="rId7"/>
    <hyperlink ref="J72" r:id="rId8"/>
    <hyperlink ref="J71" r:id="rId9"/>
    <hyperlink ref="J63" r:id="rId10"/>
    <hyperlink ref="J33" r:id="rId11"/>
    <hyperlink ref="J30" r:id="rId12"/>
    <hyperlink ref="J19" r:id="rId13"/>
    <hyperlink ref="J27" r:id="rId14"/>
    <hyperlink ref="J43" r:id="rId15"/>
    <hyperlink ref="J76" r:id="rId16"/>
    <hyperlink ref="J100" r:id="rId17"/>
    <hyperlink ref="J49" r:id="rId18" display="rodrigo.dereyes@gmail.com"/>
    <hyperlink ref="J24" r:id="rId19"/>
    <hyperlink ref="J29" r:id="rId20"/>
    <hyperlink ref="J62" r:id="rId21"/>
    <hyperlink ref="J78" r:id="rId22"/>
    <hyperlink ref="J84" r:id="rId23"/>
    <hyperlink ref="J75" r:id="rId24"/>
    <hyperlink ref="J44" r:id="rId25"/>
    <hyperlink ref="J59" r:id="rId26" display="ccs.sofala@gmail.com"/>
    <hyperlink ref="J61" r:id="rId27"/>
    <hyperlink ref="J83" r:id="rId28"/>
    <hyperlink ref="J22" r:id="rId29"/>
    <hyperlink ref="J17" r:id="rId30"/>
    <hyperlink ref="H14" r:id="rId31"/>
    <hyperlink ref="J67" r:id="rId32"/>
    <hyperlink ref="J47" r:id="rId33"/>
    <hyperlink ref="J21" r:id="rId34"/>
    <hyperlink ref="J28" r:id="rId35"/>
    <hyperlink ref="J86" r:id="rId36"/>
    <hyperlink ref="J105" r:id="rId37"/>
    <hyperlink ref="J95" r:id="rId38"/>
  </hyperlinks>
  <printOptions horizontalCentered="1"/>
  <pageMargins left="0.511811024" right="0.511811024" top="0.78740157499999996" bottom="0.78740157499999996" header="0.31496062000000002" footer="0.31496062000000002"/>
  <pageSetup scale="55" orientation="landscape" r:id="rId39"/>
  <rowBreaks count="3" manualBreakCount="3">
    <brk id="39" max="11" man="1"/>
    <brk id="65" max="11" man="1"/>
    <brk id="93" max="11" man="1"/>
  </rowBreaks>
  <drawing r:id="rId4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9</vt:i4>
      </vt:variant>
      <vt:variant>
        <vt:lpstr>Intervalos nomeados</vt:lpstr>
      </vt:variant>
      <vt:variant>
        <vt:i4>4</vt:i4>
      </vt:variant>
    </vt:vector>
  </HeadingPairs>
  <TitlesOfParts>
    <vt:vector size="13" baseType="lpstr">
      <vt:lpstr>Nacionais</vt:lpstr>
      <vt:lpstr>Plan1</vt:lpstr>
      <vt:lpstr>Estrangeiras (2)</vt:lpstr>
      <vt:lpstr>Estrangeiras</vt:lpstr>
      <vt:lpstr>ONG Activas</vt:lpstr>
      <vt:lpstr>Plan5</vt:lpstr>
      <vt:lpstr>Plan4</vt:lpstr>
      <vt:lpstr>Plan3</vt:lpstr>
      <vt:lpstr>Plan2</vt:lpstr>
      <vt:lpstr>Estrangeiras!Area_de_impressao</vt:lpstr>
      <vt:lpstr>'Estrangeiras (2)'!Area_de_impressao</vt:lpstr>
      <vt:lpstr>Nacionais!Area_de_impressao</vt:lpstr>
      <vt:lpstr>'ONG Activas'!Area_de_impressao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Planificacao</dc:creator>
  <cp:lastModifiedBy>Planificacao</cp:lastModifiedBy>
  <cp:lastPrinted>2025-09-16T08:16:49Z</cp:lastPrinted>
  <dcterms:created xsi:type="dcterms:W3CDTF">2022-10-24T06:06:57Z</dcterms:created>
  <dcterms:modified xsi:type="dcterms:W3CDTF">2026-09-14T08:37:43Z</dcterms:modified>
</cp:coreProperties>
</file>